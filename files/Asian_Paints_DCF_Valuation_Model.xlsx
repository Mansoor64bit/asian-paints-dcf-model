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G3\Documents\GITHUB REPOS\TVS\"/>
    </mc:Choice>
  </mc:AlternateContent>
  <xr:revisionPtr revIDLastSave="0" documentId="13_ncr:1_{4FEED747-06F3-46AD-9193-B6F3E745836D}" xr6:coauthVersionLast="47" xr6:coauthVersionMax="47" xr10:uidLastSave="{00000000-0000-0000-0000-000000000000}"/>
  <bookViews>
    <workbookView xWindow="-108" yWindow="-108" windowWidth="23256" windowHeight="12456" activeTab="4" xr2:uid="{5ECF019B-D745-4453-A5C5-3DCD8AB4A758}"/>
  </bookViews>
  <sheets>
    <sheet name="HistoricalFS" sheetId="10" r:id="rId1"/>
    <sheet name="DCF" sheetId="15" r:id="rId2"/>
    <sheet name="WACC" sheetId="1" r:id="rId3"/>
    <sheet name="Rm" sheetId="9" r:id="rId4"/>
    <sheet name="Intrisic Growth" sheetId="14" r:id="rId5"/>
    <sheet name="Raw Beta Peers" sheetId="8" r:id="rId6"/>
    <sheet name="Raw FS" sheetId="13" r:id="rId7"/>
    <sheet name="Data Sheet" sheetId="11" r:id="rId8"/>
  </sheets>
  <definedNames>
    <definedName name="_xlnm._FilterDatabase" localSheetId="3" hidden="1">Rm!$J$4:$K$29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14" l="1"/>
  <c r="K61" i="14"/>
  <c r="K52" i="14"/>
  <c r="K51" i="14"/>
  <c r="F59" i="14"/>
  <c r="G59" i="14"/>
  <c r="F57" i="14"/>
  <c r="G57" i="14"/>
  <c r="F56" i="14"/>
  <c r="G56" i="14"/>
  <c r="F49" i="14"/>
  <c r="G49" i="14"/>
  <c r="F47" i="14"/>
  <c r="G47" i="14"/>
  <c r="F41" i="14"/>
  <c r="G41" i="14"/>
  <c r="F2" i="14"/>
  <c r="F4" i="14"/>
  <c r="F5" i="14"/>
  <c r="F6" i="14"/>
  <c r="F7" i="14"/>
  <c r="F8" i="14"/>
  <c r="F11" i="14"/>
  <c r="F12" i="14"/>
  <c r="F13" i="14"/>
  <c r="F14" i="14"/>
  <c r="F16" i="14"/>
  <c r="F19" i="14"/>
  <c r="F20" i="14"/>
  <c r="F21" i="14"/>
  <c r="F22" i="14"/>
  <c r="F23" i="14"/>
  <c r="F24" i="14"/>
  <c r="F25" i="14"/>
  <c r="F26" i="14"/>
  <c r="F28" i="14"/>
  <c r="F29" i="14"/>
  <c r="F30" i="14"/>
  <c r="F32" i="14"/>
  <c r="F33" i="14"/>
  <c r="F35" i="14"/>
  <c r="F38" i="14"/>
  <c r="F40" i="14"/>
  <c r="F43" i="14"/>
  <c r="F45" i="14"/>
  <c r="F54" i="14"/>
  <c r="E22" i="15"/>
  <c r="E23" i="15" s="1"/>
  <c r="E20" i="15"/>
  <c r="E19" i="15" s="1"/>
  <c r="I18" i="15"/>
  <c r="J18" i="15" s="1"/>
  <c r="G18" i="15"/>
  <c r="F18" i="15" s="1"/>
  <c r="G33" i="14"/>
  <c r="H33" i="14"/>
  <c r="I33" i="14"/>
  <c r="J33" i="14"/>
  <c r="K33" i="14"/>
  <c r="G43" i="14"/>
  <c r="C33" i="15"/>
  <c r="C2" i="15"/>
  <c r="D2" i="15" s="1"/>
  <c r="E2" i="15" s="1"/>
  <c r="F2" i="15" s="1"/>
  <c r="G2" i="15" s="1"/>
  <c r="H2" i="15" s="1"/>
  <c r="C27" i="10"/>
  <c r="M27" i="10"/>
  <c r="M28" i="10" s="1"/>
  <c r="L27" i="10"/>
  <c r="L28" i="10" s="1"/>
  <c r="K27" i="10"/>
  <c r="K28" i="10" s="1"/>
  <c r="J27" i="10"/>
  <c r="J28" i="10" s="1"/>
  <c r="I27" i="10"/>
  <c r="I28" i="10" s="1"/>
  <c r="H27" i="10"/>
  <c r="H28" i="10" s="1"/>
  <c r="G27" i="10"/>
  <c r="G28" i="10" s="1"/>
  <c r="F27" i="10"/>
  <c r="F28" i="10" s="1"/>
  <c r="E27" i="10"/>
  <c r="E28" i="10" s="1"/>
  <c r="D27" i="10"/>
  <c r="D28" i="10" s="1"/>
  <c r="C28" i="10"/>
  <c r="M21" i="10"/>
  <c r="D6" i="10"/>
  <c r="E6" i="10"/>
  <c r="F6" i="10"/>
  <c r="G6" i="10"/>
  <c r="H6" i="10"/>
  <c r="I6" i="10"/>
  <c r="J6" i="10"/>
  <c r="K6" i="10"/>
  <c r="L6" i="10"/>
  <c r="C6" i="10"/>
  <c r="G5" i="9"/>
  <c r="B8" i="1"/>
  <c r="B9" i="1"/>
  <c r="B10" i="1"/>
  <c r="B11" i="1"/>
  <c r="B7" i="1"/>
  <c r="I8" i="1"/>
  <c r="I9" i="1"/>
  <c r="I10" i="1"/>
  <c r="I11" i="1"/>
  <c r="I7" i="1"/>
  <c r="E8" i="1"/>
  <c r="E9" i="1"/>
  <c r="E10" i="1"/>
  <c r="E11" i="1"/>
  <c r="E7" i="1"/>
  <c r="D8" i="1"/>
  <c r="D9" i="1"/>
  <c r="D10" i="1"/>
  <c r="D11" i="1"/>
  <c r="D7" i="1"/>
  <c r="G7" i="1" s="1"/>
  <c r="C31" i="15"/>
  <c r="C30" i="15"/>
  <c r="C4" i="15"/>
  <c r="C6" i="15" s="1"/>
  <c r="C21" i="15"/>
  <c r="E9" i="15"/>
  <c r="D5" i="15"/>
  <c r="E5" i="15" s="1"/>
  <c r="F5" i="15" s="1"/>
  <c r="G5" i="15" s="1"/>
  <c r="H5" i="15" s="1"/>
  <c r="B76" i="11"/>
  <c r="C76" i="11"/>
  <c r="D76" i="11"/>
  <c r="E76" i="11"/>
  <c r="F76" i="11"/>
  <c r="G76" i="11"/>
  <c r="H76" i="11"/>
  <c r="I76" i="11"/>
  <c r="J76" i="11"/>
  <c r="K76" i="11"/>
  <c r="K74" i="11"/>
  <c r="J74" i="11"/>
  <c r="I74" i="11"/>
  <c r="H74" i="11"/>
  <c r="G74" i="11"/>
  <c r="F74" i="11"/>
  <c r="E74" i="11"/>
  <c r="D74" i="11"/>
  <c r="C74" i="11"/>
  <c r="B74" i="11"/>
  <c r="G2" i="14"/>
  <c r="H2" i="14"/>
  <c r="I2" i="14"/>
  <c r="J2" i="14"/>
  <c r="K2" i="14"/>
  <c r="F9" i="15" l="1"/>
  <c r="K54" i="14"/>
  <c r="J54" i="14"/>
  <c r="I54" i="14"/>
  <c r="H54" i="14"/>
  <c r="G54" i="14"/>
  <c r="K40" i="14"/>
  <c r="J40" i="14"/>
  <c r="I40" i="14"/>
  <c r="H40" i="14"/>
  <c r="G40" i="14"/>
  <c r="K38" i="14"/>
  <c r="J38" i="14"/>
  <c r="I38" i="14"/>
  <c r="H38" i="14"/>
  <c r="G38" i="14"/>
  <c r="K29" i="14"/>
  <c r="J29" i="14"/>
  <c r="I29" i="14"/>
  <c r="H29" i="14"/>
  <c r="G29" i="14"/>
  <c r="K26" i="14"/>
  <c r="J26" i="14"/>
  <c r="I26" i="14"/>
  <c r="H26" i="14"/>
  <c r="G26" i="14"/>
  <c r="K25" i="14"/>
  <c r="J25" i="14"/>
  <c r="I25" i="14"/>
  <c r="H25" i="14"/>
  <c r="G25" i="14"/>
  <c r="K24" i="14"/>
  <c r="J24" i="14"/>
  <c r="I24" i="14"/>
  <c r="H24" i="14"/>
  <c r="G24" i="14"/>
  <c r="K23" i="14"/>
  <c r="J23" i="14"/>
  <c r="I23" i="14"/>
  <c r="H23" i="14"/>
  <c r="G23" i="14"/>
  <c r="K22" i="14"/>
  <c r="J22" i="14"/>
  <c r="I22" i="14"/>
  <c r="H22" i="14"/>
  <c r="G22" i="14"/>
  <c r="K21" i="14"/>
  <c r="J21" i="14"/>
  <c r="I21" i="14"/>
  <c r="H21" i="14"/>
  <c r="G21" i="14"/>
  <c r="K20" i="14"/>
  <c r="J20" i="14"/>
  <c r="I20" i="14"/>
  <c r="H20" i="14"/>
  <c r="G20" i="14"/>
  <c r="K19" i="14"/>
  <c r="J19" i="14"/>
  <c r="I19" i="14"/>
  <c r="I28" i="14" s="1"/>
  <c r="I30" i="14" s="1"/>
  <c r="H19" i="14"/>
  <c r="G19" i="14"/>
  <c r="B20" i="14"/>
  <c r="B21" i="14"/>
  <c r="B22" i="14"/>
  <c r="B23" i="14"/>
  <c r="B24" i="14"/>
  <c r="B25" i="14"/>
  <c r="B26" i="14"/>
  <c r="B19" i="14"/>
  <c r="K13" i="14"/>
  <c r="J13" i="14"/>
  <c r="I13" i="14"/>
  <c r="H13" i="14"/>
  <c r="G13" i="14"/>
  <c r="K12" i="14"/>
  <c r="J12" i="14"/>
  <c r="I12" i="14"/>
  <c r="H12" i="14"/>
  <c r="G12" i="14"/>
  <c r="K11" i="14"/>
  <c r="J11" i="14"/>
  <c r="I11" i="14"/>
  <c r="H11" i="14"/>
  <c r="G11" i="14"/>
  <c r="B13" i="14"/>
  <c r="B12" i="14"/>
  <c r="B11" i="14"/>
  <c r="K7" i="14"/>
  <c r="J7" i="14"/>
  <c r="I7" i="14"/>
  <c r="H7" i="14"/>
  <c r="G7" i="14"/>
  <c r="K6" i="14"/>
  <c r="J6" i="14"/>
  <c r="I6" i="14"/>
  <c r="H6" i="14"/>
  <c r="G6" i="14"/>
  <c r="K5" i="14"/>
  <c r="J5" i="14"/>
  <c r="I5" i="14"/>
  <c r="H5" i="14"/>
  <c r="G5" i="14"/>
  <c r="K4" i="14"/>
  <c r="J4" i="14"/>
  <c r="I4" i="14"/>
  <c r="H4" i="14"/>
  <c r="G4" i="14"/>
  <c r="B7" i="14"/>
  <c r="B6" i="14"/>
  <c r="B5" i="14"/>
  <c r="B4" i="14"/>
  <c r="K51" i="11"/>
  <c r="J51" i="11"/>
  <c r="I51" i="11"/>
  <c r="H51" i="11"/>
  <c r="M18" i="10" s="1"/>
  <c r="G51" i="11"/>
  <c r="F51" i="11"/>
  <c r="E51" i="11"/>
  <c r="D51" i="11"/>
  <c r="C51" i="11"/>
  <c r="B51" i="11"/>
  <c r="K34" i="11"/>
  <c r="J34" i="11"/>
  <c r="I34" i="11"/>
  <c r="H34" i="11"/>
  <c r="G34" i="11"/>
  <c r="F34" i="11"/>
  <c r="E34" i="11"/>
  <c r="D34" i="11"/>
  <c r="C34" i="11"/>
  <c r="B34" i="11"/>
  <c r="B15" i="11" s="1"/>
  <c r="K32" i="11"/>
  <c r="J32" i="11"/>
  <c r="I32" i="11"/>
  <c r="H32" i="11"/>
  <c r="G32" i="11"/>
  <c r="F32" i="11"/>
  <c r="E32" i="11"/>
  <c r="D32" i="11"/>
  <c r="C32" i="11"/>
  <c r="B32" i="11"/>
  <c r="K15" i="11"/>
  <c r="B6" i="11"/>
  <c r="E1" i="11"/>
  <c r="L77" i="10"/>
  <c r="K77" i="10"/>
  <c r="J77" i="10"/>
  <c r="I77" i="10"/>
  <c r="H77" i="10"/>
  <c r="G77" i="10"/>
  <c r="F77" i="10"/>
  <c r="E77" i="10"/>
  <c r="D77" i="10"/>
  <c r="C77" i="10"/>
  <c r="L75" i="10"/>
  <c r="K75" i="10"/>
  <c r="J75" i="10"/>
  <c r="I75" i="10"/>
  <c r="H75" i="10"/>
  <c r="G75" i="10"/>
  <c r="F75" i="10"/>
  <c r="E75" i="10"/>
  <c r="D75" i="10"/>
  <c r="C75" i="10"/>
  <c r="L73" i="10"/>
  <c r="L79" i="10" s="1"/>
  <c r="K73" i="10"/>
  <c r="K79" i="10" s="1"/>
  <c r="J73" i="10"/>
  <c r="J79" i="10" s="1"/>
  <c r="I73" i="10"/>
  <c r="I79" i="10" s="1"/>
  <c r="H73" i="10"/>
  <c r="H79" i="10" s="1"/>
  <c r="G73" i="10"/>
  <c r="G79" i="10" s="1"/>
  <c r="F73" i="10"/>
  <c r="F79" i="10" s="1"/>
  <c r="E73" i="10"/>
  <c r="E79" i="10" s="1"/>
  <c r="D73" i="10"/>
  <c r="D79" i="10" s="1"/>
  <c r="C73" i="10"/>
  <c r="C79" i="10" s="1"/>
  <c r="L64" i="10"/>
  <c r="K64" i="10"/>
  <c r="J64" i="10"/>
  <c r="I64" i="10"/>
  <c r="H64" i="10"/>
  <c r="G64" i="10"/>
  <c r="F64" i="10"/>
  <c r="E64" i="10"/>
  <c r="D64" i="10"/>
  <c r="C64" i="10"/>
  <c r="L63" i="10"/>
  <c r="K63" i="10"/>
  <c r="J63" i="10"/>
  <c r="I63" i="10"/>
  <c r="H63" i="10"/>
  <c r="G63" i="10"/>
  <c r="F63" i="10"/>
  <c r="E63" i="10"/>
  <c r="D63" i="10"/>
  <c r="C63" i="10"/>
  <c r="L62" i="10"/>
  <c r="L65" i="10" s="1"/>
  <c r="K62" i="10"/>
  <c r="J62" i="10"/>
  <c r="I62" i="10"/>
  <c r="H62" i="10"/>
  <c r="G62" i="10"/>
  <c r="F62" i="10"/>
  <c r="E62" i="10"/>
  <c r="D62" i="10"/>
  <c r="C62" i="10"/>
  <c r="L59" i="10"/>
  <c r="K59" i="10"/>
  <c r="J59" i="10"/>
  <c r="I59" i="10"/>
  <c r="H59" i="10"/>
  <c r="G59" i="10"/>
  <c r="F59" i="10"/>
  <c r="E59" i="10"/>
  <c r="D59" i="10"/>
  <c r="C59" i="10"/>
  <c r="L58" i="10"/>
  <c r="K58" i="10"/>
  <c r="J58" i="10"/>
  <c r="I58" i="10"/>
  <c r="H58" i="10"/>
  <c r="G58" i="10"/>
  <c r="F58" i="10"/>
  <c r="E58" i="10"/>
  <c r="D58" i="10"/>
  <c r="C58" i="10"/>
  <c r="L57" i="10"/>
  <c r="K57" i="10"/>
  <c r="J57" i="10"/>
  <c r="I57" i="10"/>
  <c r="H57" i="10"/>
  <c r="G57" i="10"/>
  <c r="F57" i="10"/>
  <c r="E57" i="10"/>
  <c r="D57" i="10"/>
  <c r="C57" i="10"/>
  <c r="L56" i="10"/>
  <c r="K56" i="10"/>
  <c r="J56" i="10"/>
  <c r="I56" i="10"/>
  <c r="H56" i="10"/>
  <c r="G56" i="10"/>
  <c r="F56" i="10"/>
  <c r="E56" i="10"/>
  <c r="D56" i="10"/>
  <c r="C56" i="10"/>
  <c r="L54" i="10"/>
  <c r="K54" i="10"/>
  <c r="J54" i="10"/>
  <c r="I54" i="10"/>
  <c r="H54" i="10"/>
  <c r="G54" i="10"/>
  <c r="F54" i="10"/>
  <c r="E54" i="10"/>
  <c r="D54" i="10"/>
  <c r="C54" i="10"/>
  <c r="L53" i="10"/>
  <c r="K53" i="10"/>
  <c r="J53" i="10"/>
  <c r="I53" i="10"/>
  <c r="H53" i="10"/>
  <c r="G53" i="10"/>
  <c r="F53" i="10"/>
  <c r="E53" i="10"/>
  <c r="D53" i="10"/>
  <c r="C53" i="10"/>
  <c r="L52" i="10"/>
  <c r="K52" i="10"/>
  <c r="J52" i="10"/>
  <c r="I52" i="10"/>
  <c r="H52" i="10"/>
  <c r="G52" i="10"/>
  <c r="F52" i="10"/>
  <c r="E52" i="10"/>
  <c r="D52" i="10"/>
  <c r="C52" i="10"/>
  <c r="L51" i="10"/>
  <c r="K51" i="10"/>
  <c r="J51" i="10"/>
  <c r="I51" i="10"/>
  <c r="H51" i="10"/>
  <c r="G51" i="10"/>
  <c r="F51" i="10"/>
  <c r="E51" i="10"/>
  <c r="D51" i="10"/>
  <c r="C51" i="10"/>
  <c r="L50" i="10"/>
  <c r="K50" i="10"/>
  <c r="J50" i="10"/>
  <c r="I50" i="10"/>
  <c r="H50" i="10"/>
  <c r="G50" i="10"/>
  <c r="F50" i="10"/>
  <c r="E50" i="10"/>
  <c r="D50" i="10"/>
  <c r="C50" i="10"/>
  <c r="L39" i="10"/>
  <c r="M39" i="10" s="1"/>
  <c r="M44" i="10" s="1"/>
  <c r="K39" i="10"/>
  <c r="K44" i="10" s="1"/>
  <c r="J39" i="10"/>
  <c r="J44" i="10" s="1"/>
  <c r="I39" i="10"/>
  <c r="I44" i="10" s="1"/>
  <c r="H39" i="10"/>
  <c r="H44" i="10" s="1"/>
  <c r="G39" i="10"/>
  <c r="G44" i="10" s="1"/>
  <c r="F39" i="10"/>
  <c r="F44" i="10" s="1"/>
  <c r="E39" i="10"/>
  <c r="E44" i="10" s="1"/>
  <c r="D39" i="10"/>
  <c r="D44" i="10" s="1"/>
  <c r="C39" i="10"/>
  <c r="C44" i="10" s="1"/>
  <c r="M33" i="10"/>
  <c r="L33" i="10"/>
  <c r="K33" i="10"/>
  <c r="J33" i="10"/>
  <c r="I33" i="10"/>
  <c r="H33" i="10"/>
  <c r="G33" i="10"/>
  <c r="F33" i="10"/>
  <c r="E33" i="10"/>
  <c r="D33" i="10"/>
  <c r="C33" i="10"/>
  <c r="M24" i="10"/>
  <c r="L24" i="10"/>
  <c r="K24" i="10"/>
  <c r="J24" i="10"/>
  <c r="I24" i="10"/>
  <c r="H24" i="10"/>
  <c r="G24" i="10"/>
  <c r="F24" i="10"/>
  <c r="E24" i="10"/>
  <c r="D24" i="10"/>
  <c r="C24" i="10"/>
  <c r="L21" i="10"/>
  <c r="K21" i="10"/>
  <c r="J21" i="10"/>
  <c r="I21" i="10"/>
  <c r="H21" i="10"/>
  <c r="G21" i="10"/>
  <c r="F21" i="10"/>
  <c r="E21" i="10"/>
  <c r="D21" i="10"/>
  <c r="C21" i="10"/>
  <c r="L15" i="10"/>
  <c r="K15" i="10"/>
  <c r="J15" i="10"/>
  <c r="I15" i="10"/>
  <c r="H15" i="10"/>
  <c r="G15" i="10"/>
  <c r="F15" i="10"/>
  <c r="E15" i="10"/>
  <c r="D15" i="10"/>
  <c r="C15" i="10"/>
  <c r="M9" i="10"/>
  <c r="L9" i="10"/>
  <c r="K9" i="10"/>
  <c r="J9" i="10"/>
  <c r="I9" i="10"/>
  <c r="H9" i="10"/>
  <c r="G9" i="10"/>
  <c r="F9" i="10"/>
  <c r="E9" i="10"/>
  <c r="D9" i="10"/>
  <c r="C9" i="10"/>
  <c r="M6" i="10"/>
  <c r="J12" i="10"/>
  <c r="J18" i="10" s="1"/>
  <c r="H12" i="10"/>
  <c r="D7" i="10"/>
  <c r="L3" i="10"/>
  <c r="K3" i="10"/>
  <c r="J3" i="10"/>
  <c r="I3" i="10"/>
  <c r="H3" i="10"/>
  <c r="G3" i="10"/>
  <c r="F3" i="10"/>
  <c r="E3" i="10"/>
  <c r="D3" i="10"/>
  <c r="C3" i="10"/>
  <c r="B2" i="10"/>
  <c r="L60" i="10" l="1"/>
  <c r="L67" i="10" s="1"/>
  <c r="L69" i="10" s="1"/>
  <c r="K60" i="10"/>
  <c r="J60" i="10"/>
  <c r="I60" i="10"/>
  <c r="H60" i="10"/>
  <c r="G60" i="10"/>
  <c r="F60" i="10"/>
  <c r="E60" i="10"/>
  <c r="D60" i="10"/>
  <c r="C60" i="10"/>
  <c r="G9" i="15"/>
  <c r="I25" i="10"/>
  <c r="H25" i="10"/>
  <c r="G25" i="10"/>
  <c r="F25" i="10"/>
  <c r="E25" i="10"/>
  <c r="D25" i="10"/>
  <c r="C25" i="10"/>
  <c r="G22" i="10"/>
  <c r="F22" i="10"/>
  <c r="E22" i="10"/>
  <c r="D22" i="10"/>
  <c r="C22" i="10"/>
  <c r="K16" i="10"/>
  <c r="J16" i="10"/>
  <c r="G16" i="10"/>
  <c r="F16" i="10"/>
  <c r="E16" i="10"/>
  <c r="D16" i="10"/>
  <c r="C16" i="10"/>
  <c r="G10" i="10"/>
  <c r="D10" i="10"/>
  <c r="D65" i="10"/>
  <c r="D67" i="10" s="1"/>
  <c r="D69" i="10" s="1"/>
  <c r="K65" i="10"/>
  <c r="K67" i="10" s="1"/>
  <c r="K69" i="10" s="1"/>
  <c r="J65" i="10"/>
  <c r="J67" i="10" s="1"/>
  <c r="J69" i="10" s="1"/>
  <c r="I65" i="10"/>
  <c r="I67" i="10" s="1"/>
  <c r="I69" i="10" s="1"/>
  <c r="H65" i="10"/>
  <c r="H67" i="10" s="1"/>
  <c r="H69" i="10" s="1"/>
  <c r="G65" i="10"/>
  <c r="F65" i="10"/>
  <c r="E65" i="10"/>
  <c r="E67" i="10" s="1"/>
  <c r="E69" i="10" s="1"/>
  <c r="M25" i="10"/>
  <c r="L25" i="10"/>
  <c r="K25" i="10"/>
  <c r="J25" i="10"/>
  <c r="M22" i="10"/>
  <c r="L22" i="10"/>
  <c r="K22" i="10"/>
  <c r="J22" i="10"/>
  <c r="I22" i="10"/>
  <c r="H22" i="10"/>
  <c r="L16" i="10"/>
  <c r="I16" i="10"/>
  <c r="H16" i="10"/>
  <c r="L10" i="10"/>
  <c r="K10" i="10"/>
  <c r="J10" i="10"/>
  <c r="I10" i="10"/>
  <c r="H10" i="10"/>
  <c r="J7" i="10"/>
  <c r="I7" i="10"/>
  <c r="C65" i="10"/>
  <c r="C67" i="10" s="1"/>
  <c r="C69" i="10" s="1"/>
  <c r="G12" i="10"/>
  <c r="F10" i="10"/>
  <c r="E12" i="10"/>
  <c r="D12" i="10"/>
  <c r="M30" i="10"/>
  <c r="M19" i="10"/>
  <c r="C10" i="10"/>
  <c r="C12" i="10"/>
  <c r="L12" i="10"/>
  <c r="L7" i="10"/>
  <c r="K12" i="10"/>
  <c r="K7" i="10"/>
  <c r="G28" i="14"/>
  <c r="G30" i="14" s="1"/>
  <c r="H28" i="14"/>
  <c r="H30" i="14" s="1"/>
  <c r="J28" i="14"/>
  <c r="J30" i="14" s="1"/>
  <c r="K28" i="14"/>
  <c r="K30" i="14" s="1"/>
  <c r="H8" i="14"/>
  <c r="G8" i="14"/>
  <c r="I8" i="14"/>
  <c r="I14" i="14"/>
  <c r="G14" i="14"/>
  <c r="J8" i="14"/>
  <c r="K8" i="14"/>
  <c r="J14" i="14"/>
  <c r="H14" i="14"/>
  <c r="K14" i="14"/>
  <c r="F67" i="10"/>
  <c r="F69" i="10" s="1"/>
  <c r="D18" i="10"/>
  <c r="D13" i="10"/>
  <c r="L18" i="10"/>
  <c r="L13" i="10"/>
  <c r="G67" i="10"/>
  <c r="G69" i="10" s="1"/>
  <c r="J19" i="10"/>
  <c r="J30" i="10"/>
  <c r="I43" i="14" s="1"/>
  <c r="I45" i="14" s="1"/>
  <c r="H13" i="10"/>
  <c r="H18" i="10"/>
  <c r="E10" i="10"/>
  <c r="L44" i="10"/>
  <c r="I12" i="10"/>
  <c r="E7" i="10"/>
  <c r="M7" i="10"/>
  <c r="F7" i="10"/>
  <c r="M12" i="10"/>
  <c r="M13" i="10" s="1"/>
  <c r="J13" i="10"/>
  <c r="M16" i="10"/>
  <c r="G7" i="10"/>
  <c r="F12" i="10"/>
  <c r="M10" i="10"/>
  <c r="H7" i="10"/>
  <c r="E18" i="10" l="1"/>
  <c r="E13" i="10"/>
  <c r="G13" i="10"/>
  <c r="G18" i="10"/>
  <c r="C18" i="10"/>
  <c r="C13" i="10"/>
  <c r="K18" i="10"/>
  <c r="K13" i="10"/>
  <c r="M36" i="10"/>
  <c r="M34" i="10"/>
  <c r="M31" i="10"/>
  <c r="H9" i="15"/>
  <c r="K16" i="14"/>
  <c r="H16" i="14"/>
  <c r="G16" i="14"/>
  <c r="G32" i="14" s="1"/>
  <c r="J16" i="14"/>
  <c r="I16" i="14"/>
  <c r="F18" i="10"/>
  <c r="F13" i="10"/>
  <c r="I18" i="10"/>
  <c r="I13" i="10"/>
  <c r="H19" i="10"/>
  <c r="H30" i="10"/>
  <c r="G19" i="10"/>
  <c r="G30" i="10"/>
  <c r="J36" i="10"/>
  <c r="J31" i="10"/>
  <c r="E30" i="10"/>
  <c r="E19" i="10"/>
  <c r="L19" i="10"/>
  <c r="L30" i="10"/>
  <c r="K43" i="14" s="1"/>
  <c r="K45" i="14" s="1"/>
  <c r="J34" i="10"/>
  <c r="D30" i="10"/>
  <c r="D19" i="10"/>
  <c r="C30" i="10" l="1"/>
  <c r="C19" i="10"/>
  <c r="K19" i="10"/>
  <c r="K30" i="10"/>
  <c r="M37" i="10"/>
  <c r="M41" i="10"/>
  <c r="M45" i="10" s="1"/>
  <c r="M47" i="10" s="1"/>
  <c r="G35" i="14"/>
  <c r="G45" i="14"/>
  <c r="I41" i="14"/>
  <c r="I47" i="14" s="1"/>
  <c r="I49" i="14" s="1"/>
  <c r="I56" i="14" s="1"/>
  <c r="I32" i="14"/>
  <c r="I35" i="14" s="1"/>
  <c r="I57" i="14" s="1"/>
  <c r="J41" i="14"/>
  <c r="J47" i="14" s="1"/>
  <c r="J32" i="14"/>
  <c r="H41" i="14"/>
  <c r="H47" i="14" s="1"/>
  <c r="H32" i="14"/>
  <c r="K41" i="14"/>
  <c r="K47" i="14" s="1"/>
  <c r="K49" i="14" s="1"/>
  <c r="K56" i="14" s="1"/>
  <c r="K32" i="14"/>
  <c r="K35" i="14" s="1"/>
  <c r="K57" i="14" s="1"/>
  <c r="E36" i="10"/>
  <c r="E31" i="10"/>
  <c r="E34" i="10"/>
  <c r="J37" i="10"/>
  <c r="J41" i="10"/>
  <c r="D36" i="10"/>
  <c r="D31" i="10"/>
  <c r="D34" i="10"/>
  <c r="H31" i="10"/>
  <c r="H36" i="10"/>
  <c r="H34" i="10"/>
  <c r="I19" i="10"/>
  <c r="I30" i="10"/>
  <c r="G36" i="10"/>
  <c r="G31" i="10"/>
  <c r="G34" i="10"/>
  <c r="L36" i="10"/>
  <c r="L31" i="10"/>
  <c r="L34" i="10"/>
  <c r="F19" i="10"/>
  <c r="F30" i="10"/>
  <c r="C36" i="10" l="1"/>
  <c r="C31" i="10"/>
  <c r="C34" i="10"/>
  <c r="K31" i="10"/>
  <c r="K36" i="10"/>
  <c r="K34" i="10"/>
  <c r="K59" i="14"/>
  <c r="H35" i="14"/>
  <c r="H57" i="14" s="1"/>
  <c r="H43" i="14"/>
  <c r="H45" i="14" s="1"/>
  <c r="H49" i="14" s="1"/>
  <c r="H56" i="14" s="1"/>
  <c r="H59" i="14" s="1"/>
  <c r="I59" i="14"/>
  <c r="L37" i="10"/>
  <c r="L41" i="10"/>
  <c r="H37" i="10"/>
  <c r="H41" i="10"/>
  <c r="G37" i="10"/>
  <c r="G41" i="10"/>
  <c r="F36" i="10"/>
  <c r="F31" i="10"/>
  <c r="F34" i="10"/>
  <c r="I36" i="10"/>
  <c r="I31" i="10"/>
  <c r="I34" i="10"/>
  <c r="E41" i="10"/>
  <c r="E37" i="10"/>
  <c r="D37" i="10"/>
  <c r="D41" i="10"/>
  <c r="J45" i="10"/>
  <c r="J47" i="10" s="1"/>
  <c r="C41" i="10" l="1"/>
  <c r="C45" i="10" s="1"/>
  <c r="C47" i="10" s="1"/>
  <c r="C37" i="10"/>
  <c r="K41" i="10"/>
  <c r="L42" i="10" s="1"/>
  <c r="K37" i="10"/>
  <c r="J35" i="14"/>
  <c r="J57" i="14" s="1"/>
  <c r="J43" i="14"/>
  <c r="J45" i="14" s="1"/>
  <c r="J49" i="14" s="1"/>
  <c r="D42" i="10"/>
  <c r="D45" i="10"/>
  <c r="D47" i="10" s="1"/>
  <c r="F41" i="10"/>
  <c r="G42" i="10" s="1"/>
  <c r="F37" i="10"/>
  <c r="H42" i="10"/>
  <c r="H45" i="10"/>
  <c r="H47" i="10" s="1"/>
  <c r="M42" i="10"/>
  <c r="L45" i="10"/>
  <c r="L47" i="10" s="1"/>
  <c r="G45" i="10"/>
  <c r="G47" i="10" s="1"/>
  <c r="E42" i="10"/>
  <c r="E45" i="10"/>
  <c r="E47" i="10" s="1"/>
  <c r="I37" i="10"/>
  <c r="I41" i="10"/>
  <c r="K45" i="10" l="1"/>
  <c r="K47" i="10" s="1"/>
  <c r="K42" i="10"/>
  <c r="C7" i="15"/>
  <c r="J56" i="14"/>
  <c r="J59" i="14" s="1"/>
  <c r="I42" i="10"/>
  <c r="I45" i="10"/>
  <c r="I47" i="10" s="1"/>
  <c r="J42" i="10"/>
  <c r="F42" i="10"/>
  <c r="F45" i="10"/>
  <c r="F47" i="10" s="1"/>
  <c r="D7" i="15" l="1"/>
  <c r="E7" i="15" s="1"/>
  <c r="F7" i="15" s="1"/>
  <c r="G7" i="15" s="1"/>
  <c r="H7" i="15" s="1"/>
  <c r="C8" i="15"/>
  <c r="C13" i="15"/>
  <c r="D4" i="15" s="1"/>
  <c r="E17" i="1"/>
  <c r="G7" i="9"/>
  <c r="J18" i="1" s="1"/>
  <c r="C25" i="1"/>
  <c r="E4" i="15" l="1"/>
  <c r="D6" i="15"/>
  <c r="D8" i="15" s="1"/>
  <c r="H8" i="1"/>
  <c r="G8" i="1"/>
  <c r="J8" i="1" s="1"/>
  <c r="G9" i="1"/>
  <c r="J9" i="1" s="1"/>
  <c r="H9" i="1"/>
  <c r="H10" i="1"/>
  <c r="G10" i="1"/>
  <c r="J10" i="1" s="1"/>
  <c r="H11" i="1"/>
  <c r="G11" i="1"/>
  <c r="J11" i="1" s="1"/>
  <c r="C24" i="1"/>
  <c r="C26" i="1" s="1"/>
  <c r="D26" i="1" s="1"/>
  <c r="E26" i="1" s="1"/>
  <c r="E25" i="1" s="1"/>
  <c r="H7" i="1"/>
  <c r="F14" i="1"/>
  <c r="E18" i="1" s="1"/>
  <c r="F13" i="1"/>
  <c r="E6" i="15" l="1"/>
  <c r="E8" i="15" s="1"/>
  <c r="F4" i="15"/>
  <c r="I14" i="1"/>
  <c r="I13" i="1"/>
  <c r="J7" i="1"/>
  <c r="E19" i="1"/>
  <c r="J31" i="1" s="1"/>
  <c r="J25" i="1"/>
  <c r="H14" i="1"/>
  <c r="D24" i="1"/>
  <c r="D25" i="1"/>
  <c r="G14" i="1"/>
  <c r="H13" i="1"/>
  <c r="G13" i="1"/>
  <c r="F6" i="15" l="1"/>
  <c r="F8" i="15" s="1"/>
  <c r="G4" i="15"/>
  <c r="J13" i="1"/>
  <c r="J14" i="1"/>
  <c r="J23" i="1" s="1"/>
  <c r="J32" i="1"/>
  <c r="D28" i="1"/>
  <c r="G6" i="15" l="1"/>
  <c r="G8" i="15" s="1"/>
  <c r="H4" i="15"/>
  <c r="H6" i="15" s="1"/>
  <c r="H8" i="15" s="1"/>
  <c r="C19" i="15" s="1"/>
  <c r="J30" i="1"/>
  <c r="E28" i="1"/>
  <c r="J24" i="1" s="1"/>
  <c r="J26" i="1" s="1"/>
  <c r="J19" i="1" s="1"/>
  <c r="J20" i="1" s="1"/>
  <c r="J29" i="1" s="1"/>
  <c r="J33" i="1" s="1"/>
  <c r="C15" i="15" s="1"/>
  <c r="G10" i="15" l="1"/>
  <c r="G11" i="15" s="1"/>
  <c r="H10" i="15"/>
  <c r="H11" i="15" s="1"/>
  <c r="C26" i="15" s="1"/>
  <c r="F10" i="15"/>
  <c r="F11" i="15" s="1"/>
  <c r="E10" i="15"/>
  <c r="E11" i="15" s="1"/>
  <c r="D10" i="15"/>
  <c r="D11" i="15" s="1"/>
  <c r="C20" i="15"/>
  <c r="C22" i="15" s="1"/>
  <c r="C27" i="15" l="1"/>
  <c r="C28" i="15" s="1"/>
  <c r="C32" i="15" s="1"/>
  <c r="C35" i="15" s="1"/>
  <c r="C37" i="15" l="1"/>
  <c r="E18" i="15"/>
</calcChain>
</file>

<file path=xl/sharedStrings.xml><?xml version="1.0" encoding="utf-8"?>
<sst xmlns="http://schemas.openxmlformats.org/spreadsheetml/2006/main" count="326" uniqueCount="252">
  <si>
    <t>Weighted Average Cost of Capital</t>
  </si>
  <si>
    <t>Name</t>
  </si>
  <si>
    <t>Country</t>
  </si>
  <si>
    <t>Total Debt</t>
  </si>
  <si>
    <t>Total Equity</t>
  </si>
  <si>
    <t>Average</t>
  </si>
  <si>
    <t>Debt/</t>
  </si>
  <si>
    <t>Equity</t>
  </si>
  <si>
    <t>Levered</t>
  </si>
  <si>
    <t>Unlevered</t>
  </si>
  <si>
    <t>India</t>
  </si>
  <si>
    <t>Capital</t>
  </si>
  <si>
    <t>Median</t>
  </si>
  <si>
    <t>Capital Structure</t>
  </si>
  <si>
    <t>Market Capitalization</t>
  </si>
  <si>
    <t>Total Capitalization</t>
  </si>
  <si>
    <t>Current</t>
  </si>
  <si>
    <t>Target</t>
  </si>
  <si>
    <t>Cost of Equity</t>
  </si>
  <si>
    <t>Risk Free Rate</t>
  </si>
  <si>
    <t>Equity Risk Premium</t>
  </si>
  <si>
    <t>Levered Beta</t>
  </si>
  <si>
    <t>Debt / Equity</t>
  </si>
  <si>
    <t>Cost of Debt</t>
  </si>
  <si>
    <t>Pre-tax Cost of Debt</t>
  </si>
  <si>
    <t>Tax Rate</t>
  </si>
  <si>
    <t>After Tax Cost of Debt</t>
  </si>
  <si>
    <t xml:space="preserve">Levered Beta </t>
  </si>
  <si>
    <t>Comps Median Unlevered Beta</t>
  </si>
  <si>
    <t xml:space="preserve">Target Debt/ Equity  </t>
  </si>
  <si>
    <t xml:space="preserve"> </t>
  </si>
  <si>
    <t>S.No.</t>
  </si>
  <si>
    <t>CMP Rs.</t>
  </si>
  <si>
    <t>Debt Rs.Cr.</t>
  </si>
  <si>
    <t xml:space="preserve">Mar Cap Rs.Cr. </t>
  </si>
  <si>
    <t>Debt / Eq</t>
  </si>
  <si>
    <t>Total</t>
  </si>
  <si>
    <t>Year</t>
  </si>
  <si>
    <t>Annual</t>
  </si>
  <si>
    <t>Return on Markets</t>
  </si>
  <si>
    <t>Average Return</t>
  </si>
  <si>
    <t>Dividend Yield</t>
  </si>
  <si>
    <t>Total Market Returns</t>
  </si>
  <si>
    <t>Equity Weight</t>
  </si>
  <si>
    <t>Debt Weight</t>
  </si>
  <si>
    <t>WACC</t>
  </si>
  <si>
    <t>Years</t>
  </si>
  <si>
    <t>LTM</t>
  </si>
  <si>
    <t>#</t>
  </si>
  <si>
    <t>Income Statement</t>
  </si>
  <si>
    <t>Sales</t>
  </si>
  <si>
    <t>Sales Growth</t>
  </si>
  <si>
    <t>-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</si>
  <si>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</si>
  <si>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</si>
  <si>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</si>
  <si>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</si>
  <si>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</si>
  <si>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</si>
  <si>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</si>
  <si>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</si>
  <si>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</t>
  </si>
  <si>
    <t>Interest % Sales</t>
  </si>
  <si>
    <t>Depreciation</t>
  </si>
  <si>
    <t>Depreciation%Sales</t>
  </si>
  <si>
    <t>Earnings Before Tax</t>
  </si>
  <si>
    <t>EBT % Sales</t>
  </si>
  <si>
    <t>Tax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</si>
  <si>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</si>
  <si>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</si>
  <si>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</si>
  <si>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</si>
  <si>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</si>
  <si>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</si>
  <si>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</si>
  <si>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</si>
  <si>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</si>
  <si>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</si>
  <si>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Equity Share Capital</t>
  </si>
  <si>
    <t>Reserves</t>
  </si>
  <si>
    <t>Borrowings</t>
  </si>
  <si>
    <t>Other Liabilities</t>
  </si>
  <si>
    <t>Total Liabilities</t>
  </si>
  <si>
    <t>Fixed Assets Net Block</t>
  </si>
  <si>
    <t>Capital Work in Progress</t>
  </si>
  <si>
    <t>Investments</t>
  </si>
  <si>
    <t>Other Assets</t>
  </si>
  <si>
    <t>Total Non Current Assets</t>
  </si>
  <si>
    <t>Receivables</t>
  </si>
  <si>
    <t>Inventory</t>
  </si>
  <si>
    <t>Cash &amp; Bank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</si>
  <si>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</si>
  <si>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</si>
  <si>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</si>
  <si>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</si>
  <si>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</si>
  <si>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</si>
  <si>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</si>
  <si>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Net Cash Flow</t>
  </si>
  <si>
    <t>COMPANY NAME</t>
  </si>
  <si>
    <t>ASIAN PAINTS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</si>
  <si>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</si>
  <si>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</si>
  <si>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</si>
  <si>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</si>
  <si>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</si>
  <si>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</si>
  <si>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</si>
  <si>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</si>
  <si>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</si>
  <si>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</si>
  <si>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</si>
  <si>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</si>
  <si>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</si>
  <si>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</si>
  <si>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</si>
  <si>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</si>
  <si>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</si>
  <si>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</si>
  <si>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</si>
  <si>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</si>
  <si>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</si>
  <si>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</si>
  <si>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</si>
  <si>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</si>
  <si>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</si>
  <si>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</si>
  <si>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</si>
  <si>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</si>
  <si>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</si>
  <si>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</si>
  <si>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</si>
  <si>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</si>
  <si>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</si>
  <si>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</si>
  <si>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</si>
  <si>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</si>
  <si>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</si>
  <si>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</si>
  <si>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</si>
  <si>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</si>
  <si>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</si>
  <si>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</si>
  <si>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</si>
  <si>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</si>
  <si>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</si>
  <si>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</si>
  <si>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</si>
  <si>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</si>
  <si>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</si>
  <si>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</si>
  <si>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</si>
  <si>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</si>
  <si>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</si>
  <si>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</si>
  <si>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</si>
  <si>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</si>
  <si>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</si>
  <si>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</si>
  <si>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</si>
  <si>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</si>
  <si>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Cash Equivalents</t>
  </si>
  <si>
    <t>Loans n Advances</t>
  </si>
  <si>
    <t>Other asset items</t>
  </si>
  <si>
    <t>ROIC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</si>
  <si>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</si>
  <si>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</si>
  <si>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</si>
  <si>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</si>
  <si>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</si>
  <si>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</si>
  <si>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</si>
  <si>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</si>
  <si>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</si>
  <si>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Calculation of Reinvestment Rate</t>
  </si>
  <si>
    <t>Net Capex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</si>
  <si>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</si>
  <si>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</si>
  <si>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</si>
  <si>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</si>
  <si>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</si>
  <si>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</si>
  <si>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</si>
  <si>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</si>
  <si>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</si>
  <si>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</si>
  <si>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</si>
  <si>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</si>
  <si>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</si>
  <si>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</si>
  <si>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</si>
  <si>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</si>
  <si>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</si>
  <si>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</si>
  <si>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</si>
  <si>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</si>
  <si>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Change in Working Capital</t>
  </si>
  <si>
    <t>Marginal Tax Rate</t>
  </si>
  <si>
    <t>Reinvestment</t>
  </si>
  <si>
    <t>EBIT(1-T)</t>
  </si>
  <si>
    <t>Reinvestment Rate</t>
  </si>
  <si>
    <t>Calculation of Growth Rate</t>
  </si>
  <si>
    <t>Intrinsic Growth</t>
  </si>
  <si>
    <t>Other Asset</t>
  </si>
  <si>
    <t>Total Asset</t>
  </si>
  <si>
    <t>Trade receivables +</t>
  </si>
  <si>
    <t>Cash from Operating Activity -</t>
  </si>
  <si>
    <t>Cash from Investing Activity -</t>
  </si>
  <si>
    <t>Cash from Financing Activity -</t>
  </si>
  <si>
    <t>Free Cash Flow</t>
  </si>
  <si>
    <t>CFO/OP</t>
  </si>
  <si>
    <t>Calculation of PV of FCFF</t>
  </si>
  <si>
    <t>EBIT (1-T)</t>
  </si>
  <si>
    <t>Less Reinvestment Rate</t>
  </si>
  <si>
    <t>Free Cash Flow to Firm</t>
  </si>
  <si>
    <t>Mid Year Convention</t>
  </si>
  <si>
    <t>Discounting Factor</t>
  </si>
  <si>
    <t>PV of FCFF</t>
  </si>
  <si>
    <t>Expected Growth</t>
  </si>
  <si>
    <t>Terminal Growth</t>
  </si>
  <si>
    <t xml:space="preserve">long term gdp growth rate </t>
  </si>
  <si>
    <t>Calculation of Terminal Value</t>
  </si>
  <si>
    <t>FCFF (n+1)</t>
  </si>
  <si>
    <t>Terminal Growth Rate</t>
  </si>
  <si>
    <t>Terminal Value</t>
  </si>
  <si>
    <t>Calculation of Equity Value per Share</t>
  </si>
  <si>
    <t>PV of Terminal Value</t>
  </si>
  <si>
    <t xml:space="preserve">Value of Operating Assets </t>
  </si>
  <si>
    <t>Add: Cash</t>
  </si>
  <si>
    <t>Less: Debt</t>
  </si>
  <si>
    <t>Value of Equity</t>
  </si>
  <si>
    <t>No of Shares</t>
  </si>
  <si>
    <t>Equity Value per Share</t>
  </si>
  <si>
    <t>current live Share price</t>
  </si>
  <si>
    <t>Discount/Premium</t>
  </si>
  <si>
    <t>Asian Paints</t>
  </si>
  <si>
    <t>Berger Paints</t>
  </si>
  <si>
    <t>Kansai Nerolac</t>
  </si>
  <si>
    <t>JSW Dulux</t>
  </si>
  <si>
    <t>Indigo Paints</t>
  </si>
  <si>
    <t>Weekly - Two Year Range</t>
  </si>
  <si>
    <t xml:space="preserve">Tax Rate </t>
  </si>
  <si>
    <t xml:space="preserve">Beta </t>
  </si>
  <si>
    <t>source-primeinvestor</t>
  </si>
  <si>
    <t>Bal Sheet Source screener</t>
  </si>
  <si>
    <t>Cash Flow Source screener</t>
  </si>
  <si>
    <t>Peer Companies</t>
  </si>
  <si>
    <t>EBIT Margins</t>
  </si>
  <si>
    <t>Raw data for Beta -&gt; screener</t>
  </si>
  <si>
    <t>Sensitivity Analysis</t>
  </si>
  <si>
    <t>5 Year Average</t>
  </si>
  <si>
    <t>5 Year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</si>
</sst>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#,##0.0"/>
    <numFmt numFmtId="165" formatCode="&quot;₹&quot;\ #,##0.0;\(&quot;₹&quot;\ #,##0.0\);\-"/>
    <numFmt numFmtId="166" formatCode="&quot;₹&quot;\ #,##0.00"/>
    <numFmt numFmtId="167" formatCode="&quot;₹&quot;\ #,##0.00;\(&quot;₹&quot;\ #,##0.00\);\-"/>
    <numFmt numFmtId="168" formatCode="[$-409]mmm\-yy;@"/>
    <numFmt numFmtId="169" formatCode="_(* #,##0.00_);_(* \(#,##0.00\);_(* &quot;-&quot;??_);_(@_)"/>
    <numFmt numFmtId="170" formatCode="#,##0.0;\(#,##0.0\);\-"/>
    <numFmt numFmtId="171" formatCode="0.000000000000000%"/>
    <numFmt numFmtId="172" formatCode="mmm/yy\A"/>
    <numFmt numFmtId="173" formatCode="mmm/yy\F"/>
    <numFmt numFmtId="174" formatCode="0.000"/>
    <numFmt numFmtId="175" formatCode="0.00\x"/>
  </numFmts>
  <fonts count="2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FF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1"/>
      <color theme="2"/>
      <name val="calibri"/>
      <family val="2"/>
    </font>
    <font>
      <b/>
      <i/>
      <sz val="11"/>
      <color theme="1"/>
      <name val="calibri"/>
      <family val="2"/>
    </font>
    <font>
      <i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i/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4" fillId="6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7" fillId="0" borderId="0"/>
  </cellStyleXfs>
  <cellXfs count="143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2" fontId="0" fillId="0" borderId="0" xfId="0" applyNumberFormat="1"/>
    <xf numFmtId="0" fontId="3" fillId="0" borderId="0" xfId="0" applyFont="1"/>
    <xf numFmtId="10" fontId="0" fillId="0" borderId="0" xfId="1" applyNumberFormat="1" applyFont="1"/>
    <xf numFmtId="10" fontId="3" fillId="0" borderId="0" xfId="0" applyNumberFormat="1" applyFont="1" applyAlignment="1">
      <alignment vertical="top"/>
    </xf>
    <xf numFmtId="10" fontId="0" fillId="0" borderId="0" xfId="0" applyNumberFormat="1"/>
    <xf numFmtId="0" fontId="1" fillId="0" borderId="3" xfId="0" applyFont="1" applyBorder="1"/>
    <xf numFmtId="10" fontId="0" fillId="0" borderId="3" xfId="1" applyNumberFormat="1" applyFont="1" applyBorder="1"/>
    <xf numFmtId="2" fontId="0" fillId="0" borderId="3" xfId="0" applyNumberFormat="1" applyBorder="1"/>
    <xf numFmtId="0" fontId="1" fillId="0" borderId="4" xfId="0" applyFont="1" applyBorder="1"/>
    <xf numFmtId="10" fontId="0" fillId="0" borderId="4" xfId="1" applyNumberFormat="1" applyFont="1" applyBorder="1"/>
    <xf numFmtId="2" fontId="0" fillId="0" borderId="4" xfId="0" applyNumberFormat="1" applyBorder="1"/>
    <xf numFmtId="10" fontId="0" fillId="3" borderId="0" xfId="1" applyNumberFormat="1" applyFont="1" applyFill="1" applyAlignment="1"/>
    <xf numFmtId="0" fontId="1" fillId="0" borderId="4" xfId="0" applyFont="1" applyBorder="1" applyAlignment="1">
      <alignment horizontal="right"/>
    </xf>
    <xf numFmtId="0" fontId="0" fillId="0" borderId="5" xfId="0" applyBorder="1"/>
    <xf numFmtId="10" fontId="0" fillId="0" borderId="5" xfId="1" applyNumberFormat="1" applyFont="1" applyBorder="1"/>
    <xf numFmtId="10" fontId="0" fillId="0" borderId="5" xfId="0" applyNumberFormat="1" applyBorder="1"/>
    <xf numFmtId="10" fontId="0" fillId="3" borderId="5" xfId="1" applyNumberFormat="1" applyFont="1" applyFill="1" applyBorder="1"/>
    <xf numFmtId="10" fontId="3" fillId="0" borderId="0" xfId="0" applyNumberFormat="1" applyFont="1"/>
    <xf numFmtId="10" fontId="0" fillId="0" borderId="0" xfId="1" applyNumberFormat="1" applyFont="1" applyBorder="1"/>
    <xf numFmtId="2" fontId="0" fillId="0" borderId="5" xfId="0" applyNumberFormat="1" applyBorder="1"/>
    <xf numFmtId="0" fontId="4" fillId="0" borderId="0" xfId="0" applyFont="1"/>
    <xf numFmtId="164" fontId="3" fillId="0" borderId="0" xfId="0" applyNumberFormat="1" applyFont="1"/>
    <xf numFmtId="10" fontId="3" fillId="0" borderId="0" xfId="1" applyNumberFormat="1" applyFont="1"/>
    <xf numFmtId="10" fontId="0" fillId="0" borderId="0" xfId="0" applyNumberFormat="1" applyAlignment="1">
      <alignment horizontal="right"/>
    </xf>
    <xf numFmtId="0" fontId="1" fillId="3" borderId="0" xfId="0" applyFont="1" applyFill="1"/>
    <xf numFmtId="10" fontId="1" fillId="3" borderId="0" xfId="0" applyNumberFormat="1" applyFont="1" applyFill="1"/>
    <xf numFmtId="10" fontId="3" fillId="0" borderId="0" xfId="0" applyNumberFormat="1" applyFont="1" applyAlignment="1">
      <alignment horizontal="right"/>
    </xf>
    <xf numFmtId="10" fontId="0" fillId="3" borderId="5" xfId="0" applyNumberFormat="1" applyFill="1" applyBorder="1"/>
    <xf numFmtId="10" fontId="0" fillId="0" borderId="0" xfId="1" applyNumberFormat="1" applyFont="1" applyFill="1" applyBorder="1"/>
    <xf numFmtId="0" fontId="1" fillId="5" borderId="0" xfId="0" applyFont="1" applyFill="1"/>
    <xf numFmtId="10" fontId="1" fillId="5" borderId="0" xfId="0" applyNumberFormat="1" applyFont="1" applyFill="1"/>
    <xf numFmtId="0" fontId="5" fillId="4" borderId="0" xfId="0" applyFont="1" applyFill="1"/>
    <xf numFmtId="17" fontId="5" fillId="4" borderId="0" xfId="0" applyNumberFormat="1" applyFont="1" applyFill="1"/>
    <xf numFmtId="17" fontId="5" fillId="4" borderId="0" xfId="0" applyNumberFormat="1" applyFont="1" applyFill="1" applyAlignment="1">
      <alignment horizontal="right"/>
    </xf>
    <xf numFmtId="0" fontId="5" fillId="0" borderId="0" xfId="0" applyFont="1"/>
    <xf numFmtId="17" fontId="5" fillId="0" borderId="0" xfId="0" applyNumberFormat="1" applyFont="1"/>
    <xf numFmtId="17" fontId="5" fillId="0" borderId="0" xfId="0" applyNumberFormat="1" applyFont="1" applyAlignment="1">
      <alignment horizontal="right"/>
    </xf>
    <xf numFmtId="0" fontId="1" fillId="2" borderId="0" xfId="0" applyFont="1" applyFill="1"/>
    <xf numFmtId="0" fontId="8" fillId="0" borderId="0" xfId="0" applyFont="1"/>
    <xf numFmtId="0" fontId="8" fillId="0" borderId="0" xfId="0" applyFont="1" applyAlignment="1">
      <alignment horizontal="right"/>
    </xf>
    <xf numFmtId="10" fontId="8" fillId="0" borderId="0" xfId="1" applyNumberFormat="1" applyFont="1"/>
    <xf numFmtId="0" fontId="1" fillId="0" borderId="6" xfId="0" applyFont="1" applyBorder="1"/>
    <xf numFmtId="166" fontId="1" fillId="0" borderId="6" xfId="0" applyNumberFormat="1" applyFont="1" applyBorder="1"/>
    <xf numFmtId="166" fontId="0" fillId="0" borderId="0" xfId="0" applyNumberFormat="1"/>
    <xf numFmtId="165" fontId="1" fillId="0" borderId="6" xfId="0" applyNumberFormat="1" applyFont="1" applyBorder="1"/>
    <xf numFmtId="0" fontId="7" fillId="0" borderId="0" xfId="0" applyFont="1"/>
    <xf numFmtId="165" fontId="1" fillId="0" borderId="0" xfId="0" applyNumberFormat="1" applyFont="1"/>
    <xf numFmtId="43" fontId="11" fillId="0" borderId="0" xfId="2" applyFont="1" applyBorder="1"/>
    <xf numFmtId="43" fontId="13" fillId="0" borderId="0" xfId="2" applyFont="1" applyBorder="1"/>
    <xf numFmtId="0" fontId="13" fillId="0" borderId="0" xfId="5" applyFont="1"/>
    <xf numFmtId="168" fontId="15" fillId="7" borderId="0" xfId="2" applyNumberFormat="1" applyFont="1" applyFill="1" applyBorder="1"/>
    <xf numFmtId="168" fontId="15" fillId="7" borderId="0" xfId="5" applyNumberFormat="1" applyFont="1" applyFill="1" applyAlignment="1">
      <alignment horizontal="center"/>
    </xf>
    <xf numFmtId="168" fontId="16" fillId="0" borderId="0" xfId="2" applyNumberFormat="1" applyFont="1" applyFill="1" applyBorder="1"/>
    <xf numFmtId="0" fontId="10" fillId="0" borderId="0" xfId="5"/>
    <xf numFmtId="9" fontId="13" fillId="0" borderId="0" xfId="6" applyFont="1" applyBorder="1"/>
    <xf numFmtId="0" fontId="17" fillId="0" borderId="0" xfId="7"/>
    <xf numFmtId="169" fontId="13" fillId="0" borderId="0" xfId="2" applyNumberFormat="1" applyFont="1" applyBorder="1"/>
    <xf numFmtId="3" fontId="0" fillId="0" borderId="0" xfId="0" applyNumberFormat="1"/>
    <xf numFmtId="0" fontId="1" fillId="0" borderId="7" xfId="0" applyFont="1" applyBorder="1"/>
    <xf numFmtId="0" fontId="0" fillId="0" borderId="6" xfId="0" applyBorder="1"/>
    <xf numFmtId="170" fontId="0" fillId="0" borderId="6" xfId="0" applyNumberFormat="1" applyBorder="1"/>
    <xf numFmtId="170" fontId="0" fillId="0" borderId="0" xfId="0" applyNumberFormat="1"/>
    <xf numFmtId="170" fontId="1" fillId="0" borderId="0" xfId="0" applyNumberFormat="1" applyFont="1"/>
    <xf numFmtId="0" fontId="1" fillId="0" borderId="1" xfId="0" applyFont="1" applyBorder="1"/>
    <xf numFmtId="170" fontId="0" fillId="0" borderId="1" xfId="0" applyNumberFormat="1" applyBorder="1"/>
    <xf numFmtId="170" fontId="0" fillId="0" borderId="8" xfId="0" applyNumberFormat="1" applyBorder="1"/>
    <xf numFmtId="170" fontId="1" fillId="0" borderId="7" xfId="0" applyNumberFormat="1" applyFont="1" applyBorder="1"/>
    <xf numFmtId="0" fontId="1" fillId="0" borderId="9" xfId="0" applyFont="1" applyBorder="1"/>
    <xf numFmtId="0" fontId="0" fillId="0" borderId="9" xfId="0" applyBorder="1"/>
    <xf numFmtId="10" fontId="1" fillId="0" borderId="9" xfId="1" applyNumberFormat="1" applyFont="1" applyBorder="1"/>
    <xf numFmtId="171" fontId="0" fillId="0" borderId="0" xfId="0" applyNumberFormat="1"/>
    <xf numFmtId="170" fontId="1" fillId="0" borderId="1" xfId="0" applyNumberFormat="1" applyFont="1" applyBorder="1"/>
    <xf numFmtId="170" fontId="1" fillId="0" borderId="9" xfId="0" applyNumberFormat="1" applyFont="1" applyBorder="1"/>
    <xf numFmtId="10" fontId="3" fillId="0" borderId="6" xfId="0" applyNumberFormat="1" applyFont="1" applyBorder="1"/>
    <xf numFmtId="170" fontId="18" fillId="0" borderId="6" xfId="0" applyNumberFormat="1" applyFont="1" applyBorder="1"/>
    <xf numFmtId="10" fontId="0" fillId="0" borderId="6" xfId="0" applyNumberFormat="1" applyBorder="1"/>
    <xf numFmtId="10" fontId="1" fillId="0" borderId="9" xfId="0" applyNumberFormat="1" applyFont="1" applyBorder="1"/>
    <xf numFmtId="17" fontId="0" fillId="0" borderId="0" xfId="0" applyNumberFormat="1"/>
    <xf numFmtId="9" fontId="0" fillId="0" borderId="0" xfId="0" applyNumberFormat="1"/>
    <xf numFmtId="43" fontId="0" fillId="0" borderId="0" xfId="0" applyNumberFormat="1"/>
    <xf numFmtId="43" fontId="1" fillId="0" borderId="9" xfId="0" applyNumberFormat="1" applyFont="1" applyBorder="1"/>
    <xf numFmtId="174" fontId="0" fillId="0" borderId="0" xfId="0" applyNumberFormat="1"/>
    <xf numFmtId="175" fontId="0" fillId="0" borderId="0" xfId="0" applyNumberFormat="1"/>
    <xf numFmtId="43" fontId="0" fillId="3" borderId="0" xfId="0" applyNumberFormat="1" applyFill="1"/>
    <xf numFmtId="10" fontId="3" fillId="3" borderId="0" xfId="0" applyNumberFormat="1" applyFont="1" applyFill="1"/>
    <xf numFmtId="43" fontId="1" fillId="3" borderId="9" xfId="0" applyNumberFormat="1" applyFont="1" applyFill="1" applyBorder="1"/>
    <xf numFmtId="0" fontId="0" fillId="3" borderId="0" xfId="0" applyFill="1"/>
    <xf numFmtId="0" fontId="1" fillId="3" borderId="9" xfId="0" applyFont="1" applyFill="1" applyBorder="1"/>
    <xf numFmtId="164" fontId="19" fillId="0" borderId="0" xfId="0" applyNumberFormat="1" applyFont="1"/>
    <xf numFmtId="0" fontId="20" fillId="0" borderId="0" xfId="0" applyFont="1"/>
    <xf numFmtId="0" fontId="21" fillId="0" borderId="0" xfId="0" applyFont="1"/>
    <xf numFmtId="0" fontId="6" fillId="0" borderId="0" xfId="0" applyFont="1"/>
    <xf numFmtId="0" fontId="19" fillId="0" borderId="0" xfId="0" applyFont="1"/>
    <xf numFmtId="2" fontId="19" fillId="0" borderId="0" xfId="0" applyNumberFormat="1" applyFont="1"/>
    <xf numFmtId="2" fontId="0" fillId="0" borderId="0" xfId="0" applyNumberFormat="1" applyAlignment="1">
      <alignment horizontal="right"/>
    </xf>
    <xf numFmtId="0" fontId="0" fillId="0" borderId="4" xfId="0" applyBorder="1"/>
    <xf numFmtId="43" fontId="1" fillId="0" borderId="0" xfId="0" applyNumberFormat="1" applyFont="1"/>
    <xf numFmtId="0" fontId="1" fillId="9" borderId="0" xfId="0" applyFont="1" applyFill="1" applyAlignment="1">
      <alignment horizontal="left"/>
    </xf>
    <xf numFmtId="0" fontId="1" fillId="9" borderId="0" xfId="0" applyFont="1" applyFill="1" applyAlignment="1">
      <alignment horizontal="right"/>
    </xf>
    <xf numFmtId="0" fontId="5" fillId="10" borderId="0" xfId="0" applyFont="1" applyFill="1"/>
    <xf numFmtId="0" fontId="6" fillId="10" borderId="0" xfId="0" applyFont="1" applyFill="1"/>
    <xf numFmtId="17" fontId="5" fillId="10" borderId="0" xfId="0" applyNumberFormat="1" applyFont="1" applyFill="1"/>
    <xf numFmtId="172" fontId="5" fillId="10" borderId="0" xfId="0" applyNumberFormat="1" applyFont="1" applyFill="1"/>
    <xf numFmtId="173" fontId="5" fillId="10" borderId="0" xfId="0" applyNumberFormat="1" applyFont="1" applyFill="1"/>
    <xf numFmtId="0" fontId="0" fillId="10" borderId="0" xfId="0" applyFill="1"/>
    <xf numFmtId="17" fontId="22" fillId="10" borderId="0" xfId="0" applyNumberFormat="1" applyFont="1" applyFill="1"/>
    <xf numFmtId="0" fontId="23" fillId="0" borderId="0" xfId="0" applyFont="1"/>
    <xf numFmtId="165" fontId="19" fillId="0" borderId="0" xfId="0" applyNumberFormat="1" applyFont="1"/>
    <xf numFmtId="166" fontId="19" fillId="0" borderId="0" xfId="0" applyNumberFormat="1" applyFont="1"/>
    <xf numFmtId="167" fontId="19" fillId="0" borderId="0" xfId="0" applyNumberFormat="1" applyFont="1"/>
    <xf numFmtId="0" fontId="24" fillId="0" borderId="0" xfId="0" applyFont="1"/>
    <xf numFmtId="43" fontId="19" fillId="3" borderId="0" xfId="0" applyNumberFormat="1" applyFont="1" applyFill="1"/>
    <xf numFmtId="43" fontId="19" fillId="0" borderId="0" xfId="0" applyNumberFormat="1" applyFont="1"/>
    <xf numFmtId="10" fontId="19" fillId="3" borderId="0" xfId="0" applyNumberFormat="1" applyFont="1" applyFill="1"/>
    <xf numFmtId="10" fontId="19" fillId="0" borderId="0" xfId="1" applyNumberFormat="1" applyFont="1"/>
    <xf numFmtId="0" fontId="3" fillId="3" borderId="0" xfId="0" applyFont="1" applyFill="1"/>
    <xf numFmtId="10" fontId="19" fillId="0" borderId="0" xfId="0" applyNumberFormat="1" applyFont="1"/>
    <xf numFmtId="170" fontId="19" fillId="0" borderId="6" xfId="0" applyNumberFormat="1" applyFont="1" applyBorder="1"/>
    <xf numFmtId="170" fontId="19" fillId="0" borderId="0" xfId="0" applyNumberFormat="1" applyFont="1"/>
    <xf numFmtId="170" fontId="25" fillId="0" borderId="0" xfId="0" applyNumberFormat="1" applyFont="1"/>
    <xf numFmtId="0" fontId="5" fillId="8" borderId="1" xfId="0" applyFont="1" applyFill="1" applyBorder="1"/>
    <xf numFmtId="0" fontId="5" fillId="8" borderId="1" xfId="0" applyFont="1" applyFill="1" applyBorder="1" applyAlignment="1">
      <alignment horizontal="right"/>
    </xf>
    <xf numFmtId="0" fontId="5" fillId="8" borderId="2" xfId="0" applyFont="1" applyFill="1" applyBorder="1" applyAlignment="1">
      <alignment vertical="top"/>
    </xf>
    <xf numFmtId="0" fontId="5" fillId="8" borderId="2" xfId="0" applyFont="1" applyFill="1" applyBorder="1" applyAlignment="1">
      <alignment horizontal="right" vertical="top"/>
    </xf>
    <xf numFmtId="0" fontId="1" fillId="12" borderId="0" xfId="0" applyFont="1" applyFill="1"/>
    <xf numFmtId="10" fontId="1" fillId="12" borderId="0" xfId="0" applyNumberFormat="1" applyFont="1" applyFill="1"/>
    <xf numFmtId="43" fontId="6" fillId="0" borderId="0" xfId="0" applyNumberFormat="1" applyFont="1"/>
    <xf numFmtId="9" fontId="0" fillId="0" borderId="0" xfId="1" applyFont="1"/>
    <xf numFmtId="0" fontId="5" fillId="8" borderId="0" xfId="0" applyFont="1" applyFill="1"/>
    <xf numFmtId="0" fontId="0" fillId="8" borderId="0" xfId="0" applyFill="1"/>
    <xf numFmtId="2" fontId="5" fillId="8" borderId="0" xfId="0" applyNumberFormat="1" applyFont="1" applyFill="1"/>
    <xf numFmtId="2" fontId="0" fillId="13" borderId="0" xfId="0" applyNumberFormat="1" applyFill="1"/>
    <xf numFmtId="0" fontId="5" fillId="4" borderId="0" xfId="0" applyFont="1" applyFill="1" applyAlignment="1">
      <alignment horizontal="center"/>
    </xf>
    <xf numFmtId="0" fontId="20" fillId="11" borderId="0" xfId="0" applyFont="1" applyFill="1" applyAlignment="1">
      <alignment horizontal="left"/>
    </xf>
    <xf numFmtId="0" fontId="20" fillId="11" borderId="0" xfId="0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0" fontId="26" fillId="8" borderId="0" xfId="0" applyFont="1" applyFill="1" applyAlignment="1">
      <alignment horizontal="left"/>
    </xf>
    <xf numFmtId="43" fontId="12" fillId="0" borderId="0" xfId="3" applyNumberFormat="1" applyFont="1" applyBorder="1" applyAlignment="1" applyProtection="1">
      <alignment horizontal="center"/>
    </xf>
    <xf numFmtId="43" fontId="15" fillId="6" borderId="0" xfId="4" applyNumberFormat="1" applyFont="1" applyBorder="1" applyAlignment="1">
      <alignment horizontal="center"/>
    </xf>
  </cellXfs>
  <cellStyles count="8">
    <cellStyle name="Accent6 2" xfId="4" xr:uid="{C4E8E0CB-FE77-482F-93E0-B2E0584F0368}"/>
    <cellStyle name="Comma 2" xfId="2" xr:uid="{1A7DFA1D-C51A-40CE-910E-8390CF1EC924}"/>
    <cellStyle name="Hyperlink 2" xfId="3" xr:uid="{C7BBB295-D97F-41F6-AD82-25BFD9046B13}"/>
    <cellStyle name="Normal" xfId="0" builtinId="0"/>
    <cellStyle name="Normal 2" xfId="7" xr:uid="{633D282F-8662-4C6C-BDD9-AD052BE7F2A5}"/>
    <cellStyle name="Normal 3" xfId="5" xr:uid="{EAECDA40-276A-48EF-BFC3-4D8D193BC9C6}"/>
    <cellStyle name="Percent" xfId="1" builtinId="5"/>
    <cellStyle name="Percent 3" xfId="6" xr:uid="{43F4A9DE-7E1B-4A43-8A65-13C050C61561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5D2E-251C-4D87-A92D-05E59C632417}">
  <dimension ref="A2:P79"/>
  <sheetViews>
    <sheetView showGridLines="0" zoomScale="115" zoomScaleNormal="115" workbookViewId="0">
      <pane ySplit="3" topLeftCell="A4" activePane="bottomLeft" state="frozen"/>
      <selection activeCell="C4" sqref="C4"/>
      <selection pane="bottomLeft" activeCell="H27" sqref="H27"/>
    </sheetView>
  </sheetViews>
  <sheetFormatPr defaultRowHeight="14.4" x14ac:dyDescent="0.3"/>
  <cols>
    <col min="1" max="1" width="1.88671875" customWidth="1"/>
    <col min="2" max="2" width="28.44140625" bestFit="1" customWidth="1"/>
    <col min="3" max="13" width="13" customWidth="1"/>
    <col min="14" max="16" width="9.77734375" bestFit="1" customWidth="1"/>
  </cols>
  <sheetData>
    <row r="2" spans="1:13" x14ac:dyDescent="0.3">
      <c r="B2" s="136" t="str">
        <f>"Historical Financial Statement - "&amp;'Data Sheet'!B1</f>
        <v>Historical Financial Statement - ASIAN PAINTS LTD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spans="1:13" x14ac:dyDescent="0.3">
      <c r="B3" s="35" t="s">
        <v>46</v>
      </c>
      <c r="C3" s="36">
        <f>'Data Sheet'!B16</f>
        <v>42825</v>
      </c>
      <c r="D3" s="36">
        <f>'Data Sheet'!C16</f>
        <v>43190</v>
      </c>
      <c r="E3" s="36">
        <f>'Data Sheet'!D16</f>
        <v>43555</v>
      </c>
      <c r="F3" s="36">
        <f>'Data Sheet'!E16</f>
        <v>43921</v>
      </c>
      <c r="G3" s="36">
        <f>'Data Sheet'!F16</f>
        <v>44286</v>
      </c>
      <c r="H3" s="36">
        <f>'Data Sheet'!G16</f>
        <v>44651</v>
      </c>
      <c r="I3" s="36">
        <f>'Data Sheet'!H16</f>
        <v>45016</v>
      </c>
      <c r="J3" s="36">
        <f>'Data Sheet'!I16</f>
        <v>45382</v>
      </c>
      <c r="K3" s="36">
        <f>'Data Sheet'!J16</f>
        <v>45747</v>
      </c>
      <c r="L3" s="36">
        <f>'Data Sheet'!K16</f>
        <v>46112</v>
      </c>
      <c r="M3" s="37" t="s">
        <v>47</v>
      </c>
    </row>
    <row r="4" spans="1:13" x14ac:dyDescent="0.3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1:13" x14ac:dyDescent="0.3">
      <c r="A5" t="s">
        <v>48</v>
      </c>
      <c r="B5" s="41" t="s">
        <v>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t="s">
        <v>50</v>
      </c>
      <c r="C6" s="111">
        <f>IFERROR('Data Sheet'!B17,0)</f>
        <v>15061.99</v>
      </c>
      <c r="D6" s="111">
        <f>IFERROR('Data Sheet'!C17,0)</f>
        <v>16824.55</v>
      </c>
      <c r="E6" s="111">
        <f>IFERROR('Data Sheet'!D17,0)</f>
        <v>19240.13</v>
      </c>
      <c r="F6" s="111">
        <f>IFERROR('Data Sheet'!E17,0)</f>
        <v>20211.25</v>
      </c>
      <c r="G6" s="111">
        <f>IFERROR('Data Sheet'!F17,0)</f>
        <v>21712.79</v>
      </c>
      <c r="H6" s="111">
        <f>IFERROR('Data Sheet'!G17,0)</f>
        <v>29101.279999999999</v>
      </c>
      <c r="I6" s="111">
        <f>IFERROR('Data Sheet'!H17,0)</f>
        <v>34488.589999999997</v>
      </c>
      <c r="J6" s="111">
        <f>IFERROR('Data Sheet'!I17,0)</f>
        <v>35494.730000000003</v>
      </c>
      <c r="K6" s="111">
        <f>IFERROR('Data Sheet'!J17,0)</f>
        <v>33905.620000000003</v>
      </c>
      <c r="L6" s="111">
        <f>IFERROR('Data Sheet'!K17,0)</f>
        <v>35583.54</v>
      </c>
      <c r="M6" s="111">
        <f>IFERROR(SUM('Data Sheet'!H42:K42),0)</f>
        <v>37186.93</v>
      </c>
    </row>
    <row r="7" spans="1:13" x14ac:dyDescent="0.3">
      <c r="B7" s="42" t="s">
        <v>51</v>
      </c>
      <c r="C7" s="43" t="s">
        <v>52</v>
      </c>
      <c r="D7" s="44">
        <f>D6/C6-1</f>
        <v>0.11702039371955486</v>
      </c>
      <c r="E7" s="44">
        <f t="shared" ref="E7:K7" si="0">E6/D6-1</f>
        <v>0.14357471670861943</v>
      </c>
      <c r="F7" s="44">
        <f t="shared" si="0"/>
        <v>5.0473671435691925E-2</v>
      </c>
      <c r="G7" s="44">
        <f t="shared" si="0"/>
        <v>7.4292287711052118E-2</v>
      </c>
      <c r="H7" s="44">
        <f t="shared" si="0"/>
        <v>0.34028284711453471</v>
      </c>
      <c r="I7" s="44">
        <f t="shared" si="0"/>
        <v>0.18512278497715551</v>
      </c>
      <c r="J7" s="44">
        <f t="shared" si="0"/>
        <v>2.9173126532572313E-2</v>
      </c>
      <c r="K7" s="44">
        <f t="shared" si="0"/>
        <v>-4.4770308155605121E-2</v>
      </c>
      <c r="L7" s="44">
        <f>L6/K6-1</f>
        <v>4.9487960992897317E-2</v>
      </c>
      <c r="M7" s="44">
        <f>M6/L6-1</f>
        <v>4.5059878809134757E-2</v>
      </c>
    </row>
    <row r="9" spans="1:13" x14ac:dyDescent="0.3">
      <c r="B9" t="s">
        <v>53</v>
      </c>
      <c r="C9" s="111">
        <f>IFERROR(SUM('Data Sheet'!B18,'Data Sheet'!B20:B22)-1*'Data Sheet'!B19,0)</f>
        <v>9732.66</v>
      </c>
      <c r="D9" s="111">
        <f>IFERROR(SUM('Data Sheet'!C18,'Data Sheet'!C20:C22)-1*'Data Sheet'!C19,0)</f>
        <v>11194.169999999998</v>
      </c>
      <c r="E9" s="111">
        <f>IFERROR(SUM('Data Sheet'!D18,'Data Sheet'!D20:D22)-1*'Data Sheet'!D19,0)</f>
        <v>12905.81</v>
      </c>
      <c r="F9" s="111">
        <f>IFERROR(SUM('Data Sheet'!E18,'Data Sheet'!E20:E22)-1*'Data Sheet'!E19,0)</f>
        <v>13158.020000000002</v>
      </c>
      <c r="G9" s="111">
        <f>IFERROR(SUM('Data Sheet'!F18,'Data Sheet'!F20:F22)-1*'Data Sheet'!F19,0)</f>
        <v>14035.069999999998</v>
      </c>
      <c r="H9" s="111">
        <f>IFERROR(SUM('Data Sheet'!G18,'Data Sheet'!G20:G22)-1*'Data Sheet'!G19,0)</f>
        <v>20590.57</v>
      </c>
      <c r="I9" s="111">
        <f>IFERROR(SUM('Data Sheet'!H18,'Data Sheet'!H20:H22)-1*'Data Sheet'!H19,0)</f>
        <v>23766.7</v>
      </c>
      <c r="J9" s="111">
        <f>IFERROR(SUM('Data Sheet'!I18,'Data Sheet'!I20:I22)-1*'Data Sheet'!I19,0)</f>
        <v>23009.99</v>
      </c>
      <c r="K9" s="111">
        <f>IFERROR(SUM('Data Sheet'!J18,'Data Sheet'!J20:J22)-1*'Data Sheet'!J19,0)</f>
        <v>22741.27</v>
      </c>
      <c r="L9" s="111">
        <f>IFERROR(SUM('Data Sheet'!K18,'Data Sheet'!K20:K22)-1*'Data Sheet'!K19,0)</f>
        <v>23489.629999999997</v>
      </c>
      <c r="M9" s="111">
        <f>IFERROR(SUM('Data Sheet'!H43:K43),0)</f>
        <v>29947.22</v>
      </c>
    </row>
    <row r="10" spans="1:13" x14ac:dyDescent="0.3">
      <c r="B10" s="42" t="s">
        <v>54</v>
      </c>
      <c r="C10" s="44">
        <f>C9/C6</f>
        <v>0.64617357998511482</v>
      </c>
      <c r="D10" s="44">
        <f t="shared" ref="D10:M10" si="1">D9/D6</f>
        <v>0.66534736441687881</v>
      </c>
      <c r="E10" s="44">
        <f t="shared" si="1"/>
        <v>0.67077561326248825</v>
      </c>
      <c r="F10" s="44">
        <f t="shared" si="1"/>
        <v>0.65102455315727636</v>
      </c>
      <c r="G10" s="44">
        <f t="shared" si="1"/>
        <v>0.64639643270164715</v>
      </c>
      <c r="H10" s="44">
        <f t="shared" si="1"/>
        <v>0.70754860267314701</v>
      </c>
      <c r="I10" s="44">
        <f t="shared" si="1"/>
        <v>0.68911776329504926</v>
      </c>
      <c r="J10" s="44">
        <f t="shared" si="1"/>
        <v>0.64826496778535858</v>
      </c>
      <c r="K10" s="44">
        <f t="shared" si="1"/>
        <v>0.67072272974214886</v>
      </c>
      <c r="L10" s="44">
        <f t="shared" si="1"/>
        <v>0.66012628310730181</v>
      </c>
      <c r="M10" s="44">
        <f t="shared" si="1"/>
        <v>0.80531573862106931</v>
      </c>
    </row>
    <row r="12" spans="1:13" x14ac:dyDescent="0.3">
      <c r="B12" s="45" t="s">
        <v>55</v>
      </c>
      <c r="C12" s="46">
        <f>C6-C9</f>
        <v>5329.33</v>
      </c>
      <c r="D12" s="46">
        <f t="shared" ref="D12:M12" si="2">D6-D9</f>
        <v>5630.380000000001</v>
      </c>
      <c r="E12" s="46">
        <f t="shared" si="2"/>
        <v>6334.3200000000015</v>
      </c>
      <c r="F12" s="46">
        <f t="shared" si="2"/>
        <v>7053.2299999999977</v>
      </c>
      <c r="G12" s="46">
        <f t="shared" si="2"/>
        <v>7677.720000000003</v>
      </c>
      <c r="H12" s="46">
        <f t="shared" si="2"/>
        <v>8510.7099999999991</v>
      </c>
      <c r="I12" s="46">
        <f t="shared" si="2"/>
        <v>10721.889999999996</v>
      </c>
      <c r="J12" s="46">
        <f t="shared" si="2"/>
        <v>12484.740000000002</v>
      </c>
      <c r="K12" s="46">
        <f t="shared" si="2"/>
        <v>11164.350000000002</v>
      </c>
      <c r="L12" s="46">
        <f t="shared" si="2"/>
        <v>12093.910000000003</v>
      </c>
      <c r="M12" s="46">
        <f t="shared" si="2"/>
        <v>7239.7099999999991</v>
      </c>
    </row>
    <row r="13" spans="1:13" x14ac:dyDescent="0.3">
      <c r="B13" s="42" t="s">
        <v>56</v>
      </c>
      <c r="C13" s="44">
        <f>C12/C6</f>
        <v>0.35382642001488518</v>
      </c>
      <c r="D13" s="44">
        <f t="shared" ref="D13:M13" si="3">D12/D6</f>
        <v>0.33465263558312119</v>
      </c>
      <c r="E13" s="44">
        <f t="shared" si="3"/>
        <v>0.3292243867375117</v>
      </c>
      <c r="F13" s="44">
        <f t="shared" si="3"/>
        <v>0.34897544684272364</v>
      </c>
      <c r="G13" s="44">
        <f t="shared" si="3"/>
        <v>0.35360356729835285</v>
      </c>
      <c r="H13" s="44">
        <f t="shared" si="3"/>
        <v>0.29245139732685294</v>
      </c>
      <c r="I13" s="44">
        <f t="shared" si="3"/>
        <v>0.31088223670495074</v>
      </c>
      <c r="J13" s="44">
        <f t="shared" si="3"/>
        <v>0.35173503221464147</v>
      </c>
      <c r="K13" s="44">
        <f t="shared" si="3"/>
        <v>0.32927727025785108</v>
      </c>
      <c r="L13" s="44">
        <f t="shared" si="3"/>
        <v>0.33987371689269824</v>
      </c>
      <c r="M13" s="44">
        <f t="shared" si="3"/>
        <v>0.19468426137893069</v>
      </c>
    </row>
    <row r="15" spans="1:13" x14ac:dyDescent="0.3">
      <c r="B15" t="s">
        <v>57</v>
      </c>
      <c r="C15" s="112">
        <f>IFERROR(SUM('Data Sheet'!B23:B24),0)</f>
        <v>2335.5699999999997</v>
      </c>
      <c r="D15" s="112">
        <f>IFERROR(SUM('Data Sheet'!C23:C24),0)</f>
        <v>2426.37</v>
      </c>
      <c r="E15" s="112">
        <f>IFERROR(SUM('Data Sheet'!D23:D24),0)</f>
        <v>2569.38</v>
      </c>
      <c r="F15" s="112">
        <f>IFERROR(SUM('Data Sheet'!E23:E24),0)</f>
        <v>2891.46</v>
      </c>
      <c r="G15" s="112">
        <f>IFERROR(SUM('Data Sheet'!F23:F24),0)</f>
        <v>2822.12</v>
      </c>
      <c r="H15" s="112">
        <f>IFERROR(SUM('Data Sheet'!G23:G24),0)</f>
        <v>3707.1</v>
      </c>
      <c r="I15" s="112">
        <f>IFERROR(SUM('Data Sheet'!H23:H24),0)</f>
        <v>4462.05</v>
      </c>
      <c r="J15" s="112">
        <f>IFERROR(SUM('Data Sheet'!I23:I24),0)</f>
        <v>4899.76</v>
      </c>
      <c r="K15" s="112">
        <f>IFERROR(SUM('Data Sheet'!J23:J24),0)</f>
        <v>5158.1400000000003</v>
      </c>
      <c r="L15" s="112">
        <f>IFERROR(SUM('Data Sheet'!K23:K24),0)</f>
        <v>5394.1799999999994</v>
      </c>
      <c r="M15" s="47"/>
    </row>
    <row r="16" spans="1:13" x14ac:dyDescent="0.3">
      <c r="B16" s="42" t="s">
        <v>58</v>
      </c>
      <c r="C16" s="44">
        <f>C15/C6</f>
        <v>0.15506383950593511</v>
      </c>
      <c r="D16" s="44">
        <f t="shared" ref="D16:M16" si="4">D15/D6</f>
        <v>0.14421604143944414</v>
      </c>
      <c r="E16" s="44">
        <f t="shared" si="4"/>
        <v>0.13354275672773522</v>
      </c>
      <c r="F16" s="44">
        <f t="shared" si="4"/>
        <v>0.14306190859051271</v>
      </c>
      <c r="G16" s="44">
        <f t="shared" si="4"/>
        <v>0.12997500551518251</v>
      </c>
      <c r="H16" s="44">
        <f t="shared" si="4"/>
        <v>0.1273861493377611</v>
      </c>
      <c r="I16" s="44">
        <f t="shared" si="4"/>
        <v>0.12937757095897515</v>
      </c>
      <c r="J16" s="44">
        <f t="shared" si="4"/>
        <v>0.1380419008681007</v>
      </c>
      <c r="K16" s="44">
        <f t="shared" si="4"/>
        <v>0.15213230137068723</v>
      </c>
      <c r="L16" s="44">
        <f t="shared" si="4"/>
        <v>0.15159200012140442</v>
      </c>
      <c r="M16" s="44">
        <f t="shared" si="4"/>
        <v>0</v>
      </c>
    </row>
    <row r="18" spans="2:16" x14ac:dyDescent="0.3">
      <c r="B18" s="45" t="s">
        <v>59</v>
      </c>
      <c r="C18" s="46">
        <f t="shared" ref="C18:L18" si="5">C12-C15</f>
        <v>2993.76</v>
      </c>
      <c r="D18" s="46">
        <f t="shared" si="5"/>
        <v>3204.0100000000011</v>
      </c>
      <c r="E18" s="46">
        <f t="shared" si="5"/>
        <v>3764.9400000000014</v>
      </c>
      <c r="F18" s="46">
        <f t="shared" si="5"/>
        <v>4161.7699999999977</v>
      </c>
      <c r="G18" s="46">
        <f t="shared" si="5"/>
        <v>4855.6000000000031</v>
      </c>
      <c r="H18" s="46">
        <f t="shared" si="5"/>
        <v>4803.6099999999988</v>
      </c>
      <c r="I18" s="46">
        <f t="shared" si="5"/>
        <v>6259.8399999999956</v>
      </c>
      <c r="J18" s="46">
        <f t="shared" si="5"/>
        <v>7584.9800000000014</v>
      </c>
      <c r="K18" s="46">
        <f t="shared" si="5"/>
        <v>6006.2100000000019</v>
      </c>
      <c r="L18" s="46">
        <f t="shared" si="5"/>
        <v>6699.7300000000041</v>
      </c>
      <c r="M18" s="46">
        <f>IFERROR(SUM('Data Sheet'!H51:K51),0)</f>
        <v>7949.1299999999992</v>
      </c>
    </row>
    <row r="19" spans="2:16" x14ac:dyDescent="0.3">
      <c r="B19" s="42" t="s">
        <v>60</v>
      </c>
      <c r="C19" s="44">
        <f>C18/C6</f>
        <v>0.19876258050895004</v>
      </c>
      <c r="D19" s="44">
        <f t="shared" ref="D19:M19" si="6">D18/D6</f>
        <v>0.19043659414367703</v>
      </c>
      <c r="E19" s="44">
        <f t="shared" si="6"/>
        <v>0.19568163000977651</v>
      </c>
      <c r="F19" s="44">
        <f t="shared" si="6"/>
        <v>0.2059135382522109</v>
      </c>
      <c r="G19" s="44">
        <f t="shared" si="6"/>
        <v>0.22362856178317034</v>
      </c>
      <c r="H19" s="44">
        <f t="shared" si="6"/>
        <v>0.16506524798909186</v>
      </c>
      <c r="I19" s="44">
        <f t="shared" si="6"/>
        <v>0.1815046657459756</v>
      </c>
      <c r="J19" s="44">
        <f t="shared" si="6"/>
        <v>0.21369313134654075</v>
      </c>
      <c r="K19" s="44">
        <f t="shared" si="6"/>
        <v>0.17714496888716388</v>
      </c>
      <c r="L19" s="44">
        <f t="shared" si="6"/>
        <v>0.18828171677129379</v>
      </c>
      <c r="M19" s="44">
        <f t="shared" si="6"/>
        <v>0.21376139412422587</v>
      </c>
    </row>
    <row r="21" spans="2:16" x14ac:dyDescent="0.3">
      <c r="B21" t="s">
        <v>61</v>
      </c>
      <c r="C21" s="112">
        <f>IFERROR('Data Sheet'!B27,0)</f>
        <v>37.33</v>
      </c>
      <c r="D21" s="112">
        <f>IFERROR('Data Sheet'!C27,0)</f>
        <v>41.47</v>
      </c>
      <c r="E21" s="112">
        <f>IFERROR('Data Sheet'!D27,0)</f>
        <v>110.47</v>
      </c>
      <c r="F21" s="112">
        <f>IFERROR('Data Sheet'!E27,0)</f>
        <v>102.33</v>
      </c>
      <c r="G21" s="112">
        <f>IFERROR('Data Sheet'!F27,0)</f>
        <v>91.63</v>
      </c>
      <c r="H21" s="112">
        <f>IFERROR('Data Sheet'!G27,0)</f>
        <v>95.41</v>
      </c>
      <c r="I21" s="112">
        <f>IFERROR('Data Sheet'!H27,0)</f>
        <v>144.44999999999999</v>
      </c>
      <c r="J21" s="112">
        <f>IFERROR('Data Sheet'!I27,0)</f>
        <v>205.17</v>
      </c>
      <c r="K21" s="112">
        <f>IFERROR('Data Sheet'!J27,0)</f>
        <v>227.02</v>
      </c>
      <c r="L21" s="112">
        <f>IFERROR('Data Sheet'!K27,0)</f>
        <v>195.41</v>
      </c>
      <c r="M21" s="112">
        <f>IFERROR(SUM('Data Sheet'!H46:K46),0)</f>
        <v>198.74</v>
      </c>
    </row>
    <row r="22" spans="2:16" x14ac:dyDescent="0.3">
      <c r="B22" s="42" t="s">
        <v>62</v>
      </c>
      <c r="C22" s="44">
        <f>C21/C6</f>
        <v>2.4784241657310885E-3</v>
      </c>
      <c r="D22" s="44">
        <f t="shared" ref="D22:L22" si="7">D21/D6</f>
        <v>2.4648504714836358E-3</v>
      </c>
      <c r="E22" s="44">
        <f t="shared" si="7"/>
        <v>5.7416451967840128E-3</v>
      </c>
      <c r="F22" s="44">
        <f t="shared" si="7"/>
        <v>5.0630218319005502E-3</v>
      </c>
      <c r="G22" s="44">
        <f t="shared" si="7"/>
        <v>4.2200933182700148E-3</v>
      </c>
      <c r="H22" s="44">
        <f t="shared" si="7"/>
        <v>3.2785499469439143E-3</v>
      </c>
      <c r="I22" s="44">
        <f t="shared" si="7"/>
        <v>4.1883417095335005E-3</v>
      </c>
      <c r="J22" s="44">
        <f t="shared" si="7"/>
        <v>5.7802947085384216E-3</v>
      </c>
      <c r="K22" s="44">
        <f t="shared" si="7"/>
        <v>6.6956451467337858E-3</v>
      </c>
      <c r="L22" s="44">
        <f t="shared" si="7"/>
        <v>5.4915840301442741E-3</v>
      </c>
      <c r="M22" s="44">
        <f>M21/M6</f>
        <v>5.3443508243353243E-3</v>
      </c>
    </row>
    <row r="24" spans="2:16" x14ac:dyDescent="0.3">
      <c r="B24" t="s">
        <v>63</v>
      </c>
      <c r="C24" s="112">
        <f>IFERROR('Data Sheet'!B26,0)</f>
        <v>334.79</v>
      </c>
      <c r="D24" s="112">
        <f>IFERROR('Data Sheet'!C26,0)</f>
        <v>360.47</v>
      </c>
      <c r="E24" s="112">
        <f>IFERROR('Data Sheet'!D26,0)</f>
        <v>622.14</v>
      </c>
      <c r="F24" s="112">
        <f>IFERROR('Data Sheet'!E26,0)</f>
        <v>780.5</v>
      </c>
      <c r="G24" s="112">
        <f>IFERROR('Data Sheet'!F26,0)</f>
        <v>791.27</v>
      </c>
      <c r="H24" s="112">
        <f>IFERROR('Data Sheet'!G26,0)</f>
        <v>816.36</v>
      </c>
      <c r="I24" s="112">
        <f>IFERROR('Data Sheet'!H26,0)</f>
        <v>858.02</v>
      </c>
      <c r="J24" s="112">
        <f>IFERROR('Data Sheet'!I26,0)</f>
        <v>853</v>
      </c>
      <c r="K24" s="112">
        <f>IFERROR('Data Sheet'!J26,0)</f>
        <v>1026.3399999999999</v>
      </c>
      <c r="L24" s="112">
        <f>IFERROR('Data Sheet'!K26,0)</f>
        <v>1228.8499999999999</v>
      </c>
      <c r="M24" s="112">
        <f>IFERROR(SUM('Data Sheet'!H45:K45),0)</f>
        <v>1232.17</v>
      </c>
    </row>
    <row r="25" spans="2:16" x14ac:dyDescent="0.3">
      <c r="B25" s="42" t="s">
        <v>64</v>
      </c>
      <c r="C25" s="44">
        <f>C24/C6</f>
        <v>2.2227474590011016E-2</v>
      </c>
      <c r="D25" s="44">
        <f t="shared" ref="D25:M25" si="8">D24/D6</f>
        <v>2.1425238713665449E-2</v>
      </c>
      <c r="E25" s="44">
        <f t="shared" si="8"/>
        <v>3.2335540352378074E-2</v>
      </c>
      <c r="F25" s="44">
        <f t="shared" si="8"/>
        <v>3.8617106809326486E-2</v>
      </c>
      <c r="G25" s="44">
        <f t="shared" si="8"/>
        <v>3.6442576011650275E-2</v>
      </c>
      <c r="H25" s="44">
        <f t="shared" si="8"/>
        <v>2.8052374328551871E-2</v>
      </c>
      <c r="I25" s="44">
        <f t="shared" si="8"/>
        <v>2.4878372818372688E-2</v>
      </c>
      <c r="J25" s="44">
        <f t="shared" si="8"/>
        <v>2.4031736542297968E-2</v>
      </c>
      <c r="K25" s="44">
        <f t="shared" si="8"/>
        <v>3.0270497929251843E-2</v>
      </c>
      <c r="L25" s="44">
        <f t="shared" si="8"/>
        <v>3.4534225656019608E-2</v>
      </c>
      <c r="M25" s="44">
        <f t="shared" si="8"/>
        <v>3.3134491069846318E-2</v>
      </c>
    </row>
    <row r="27" spans="2:16" x14ac:dyDescent="0.3">
      <c r="B27" s="45" t="s">
        <v>173</v>
      </c>
      <c r="C27" s="46">
        <f>IFERROR(C18-C24,0)</f>
        <v>2658.9700000000003</v>
      </c>
      <c r="D27" s="46">
        <f>IFERROR(D18-D24,0)</f>
        <v>2843.5400000000009</v>
      </c>
      <c r="E27" s="46">
        <f t="shared" ref="E27:M27" si="9">IFERROR(E18-E24,0)</f>
        <v>3142.8000000000015</v>
      </c>
      <c r="F27" s="46">
        <f t="shared" si="9"/>
        <v>3381.2699999999977</v>
      </c>
      <c r="G27" s="46">
        <f t="shared" si="9"/>
        <v>4064.3300000000031</v>
      </c>
      <c r="H27" s="46">
        <f t="shared" si="9"/>
        <v>3987.2499999999986</v>
      </c>
      <c r="I27" s="46">
        <f t="shared" si="9"/>
        <v>5401.8199999999961</v>
      </c>
      <c r="J27" s="46">
        <f t="shared" si="9"/>
        <v>6731.9800000000014</v>
      </c>
      <c r="K27" s="46">
        <f t="shared" si="9"/>
        <v>4979.8700000000017</v>
      </c>
      <c r="L27" s="46">
        <f t="shared" si="9"/>
        <v>5470.8800000000047</v>
      </c>
      <c r="M27" s="46">
        <f t="shared" si="9"/>
        <v>6716.9599999999991</v>
      </c>
      <c r="N27" s="47"/>
      <c r="O27" s="47"/>
      <c r="P27" s="47"/>
    </row>
    <row r="28" spans="2:16" x14ac:dyDescent="0.3">
      <c r="B28" s="42" t="s">
        <v>247</v>
      </c>
      <c r="C28" s="44">
        <f>C27/C6</f>
        <v>0.17653510591893901</v>
      </c>
      <c r="D28" s="44">
        <f t="shared" ref="D28:M28" si="10">D27/D6</f>
        <v>0.16901135543001156</v>
      </c>
      <c r="E28" s="44">
        <f t="shared" si="10"/>
        <v>0.16334608965739844</v>
      </c>
      <c r="F28" s="44">
        <f t="shared" si="10"/>
        <v>0.16729643144288442</v>
      </c>
      <c r="G28" s="44">
        <f t="shared" si="10"/>
        <v>0.18718598577152007</v>
      </c>
      <c r="H28" s="44">
        <f t="shared" si="10"/>
        <v>0.13701287366053996</v>
      </c>
      <c r="I28" s="44">
        <f t="shared" si="10"/>
        <v>0.15662629292760291</v>
      </c>
      <c r="J28" s="44">
        <f t="shared" si="10"/>
        <v>0.18966139480424279</v>
      </c>
      <c r="K28" s="44">
        <f t="shared" si="10"/>
        <v>0.14687447095791203</v>
      </c>
      <c r="L28" s="44">
        <f t="shared" si="10"/>
        <v>0.15374749111527422</v>
      </c>
      <c r="M28" s="44">
        <f t="shared" si="10"/>
        <v>0.18062690305437956</v>
      </c>
    </row>
    <row r="30" spans="2:16" x14ac:dyDescent="0.3">
      <c r="B30" s="45" t="s">
        <v>65</v>
      </c>
      <c r="C30" s="46">
        <f>IFERROR(C18-SUM(C24,C21),0)</f>
        <v>2621.6400000000003</v>
      </c>
      <c r="D30" s="46">
        <f t="shared" ref="D30:L30" si="11">IFERROR(D18-SUM(D24,D21),0)</f>
        <v>2802.0700000000011</v>
      </c>
      <c r="E30" s="46">
        <f t="shared" si="11"/>
        <v>3032.3300000000013</v>
      </c>
      <c r="F30" s="46">
        <f t="shared" si="11"/>
        <v>3278.9399999999978</v>
      </c>
      <c r="G30" s="46">
        <f t="shared" si="11"/>
        <v>3972.700000000003</v>
      </c>
      <c r="H30" s="46">
        <f t="shared" si="11"/>
        <v>3891.8399999999988</v>
      </c>
      <c r="I30" s="48">
        <f t="shared" si="11"/>
        <v>5257.3699999999953</v>
      </c>
      <c r="J30" s="48">
        <f t="shared" si="11"/>
        <v>6526.8100000000013</v>
      </c>
      <c r="K30" s="48">
        <f t="shared" si="11"/>
        <v>4752.8500000000022</v>
      </c>
      <c r="L30" s="48">
        <f t="shared" si="11"/>
        <v>5275.4700000000039</v>
      </c>
      <c r="M30" s="48">
        <f>IFERROR(M18-SUM(M24,M21),0)</f>
        <v>6518.2199999999993</v>
      </c>
      <c r="N30" s="47"/>
    </row>
    <row r="31" spans="2:16" x14ac:dyDescent="0.3">
      <c r="B31" s="42" t="s">
        <v>66</v>
      </c>
      <c r="C31" s="44">
        <f>C30/C6</f>
        <v>0.17405668175320793</v>
      </c>
      <c r="D31" s="44">
        <f t="shared" ref="D31:M31" si="12">D30/D6</f>
        <v>0.16654650495852794</v>
      </c>
      <c r="E31" s="44">
        <f t="shared" si="12"/>
        <v>0.15760444446061442</v>
      </c>
      <c r="F31" s="44">
        <f t="shared" si="12"/>
        <v>0.16223340961098387</v>
      </c>
      <c r="G31" s="44">
        <f t="shared" si="12"/>
        <v>0.18296589245325004</v>
      </c>
      <c r="H31" s="44">
        <f t="shared" si="12"/>
        <v>0.13373432371359606</v>
      </c>
      <c r="I31" s="44">
        <f t="shared" si="12"/>
        <v>0.15243795121806938</v>
      </c>
      <c r="J31" s="44">
        <f t="shared" si="12"/>
        <v>0.18388110009570438</v>
      </c>
      <c r="K31" s="44">
        <f t="shared" si="12"/>
        <v>0.14017882581117827</v>
      </c>
      <c r="L31" s="44">
        <f t="shared" si="12"/>
        <v>0.14825590708512992</v>
      </c>
      <c r="M31" s="44">
        <f t="shared" si="12"/>
        <v>0.17528255223004424</v>
      </c>
    </row>
    <row r="33" spans="2:13" x14ac:dyDescent="0.3">
      <c r="B33" t="s">
        <v>67</v>
      </c>
      <c r="C33" s="111">
        <f>IFERROR('Data Sheet'!B29,0)</f>
        <v>943.29</v>
      </c>
      <c r="D33" s="111">
        <f>IFERROR('Data Sheet'!C29,0)</f>
        <v>1040.96</v>
      </c>
      <c r="E33" s="111">
        <f>IFERROR('Data Sheet'!D29,0)</f>
        <v>1098.06</v>
      </c>
      <c r="F33" s="111">
        <f>IFERROR('Data Sheet'!E29,0)</f>
        <v>854.85</v>
      </c>
      <c r="G33" s="111">
        <f>IFERROR('Data Sheet'!F29,0)</f>
        <v>1097.5999999999999</v>
      </c>
      <c r="H33" s="111">
        <f>IFERROR('Data Sheet'!G29,0)</f>
        <v>1102.9100000000001</v>
      </c>
      <c r="I33" s="111">
        <f>IFERROR('Data Sheet'!H29,0)</f>
        <v>1493.5</v>
      </c>
      <c r="J33" s="111">
        <f>IFERROR('Data Sheet'!I29,0)</f>
        <v>1790.08</v>
      </c>
      <c r="K33" s="111">
        <f>IFERROR('Data Sheet'!J29,0)</f>
        <v>1393.36</v>
      </c>
      <c r="L33" s="111">
        <f>IFERROR('Data Sheet'!K29,0)</f>
        <v>1608.75</v>
      </c>
      <c r="M33" s="111">
        <f>IFERROR(SUM('Data Sheet'!H48:K48),0)</f>
        <v>1753.39</v>
      </c>
    </row>
    <row r="34" spans="2:13" x14ac:dyDescent="0.3">
      <c r="B34" s="42" t="s">
        <v>68</v>
      </c>
      <c r="C34" s="44">
        <f>C33/C30</f>
        <v>0.35980912711127377</v>
      </c>
      <c r="D34" s="44">
        <f t="shared" ref="D34:M34" si="13">D33/D30</f>
        <v>0.37149678630441052</v>
      </c>
      <c r="E34" s="44">
        <f t="shared" si="13"/>
        <v>0.36211757955103813</v>
      </c>
      <c r="F34" s="44">
        <f t="shared" si="13"/>
        <v>0.26070925360024905</v>
      </c>
      <c r="G34" s="44">
        <f t="shared" si="13"/>
        <v>0.2762856495582347</v>
      </c>
      <c r="H34" s="44">
        <f t="shared" si="13"/>
        <v>0.2833903757605658</v>
      </c>
      <c r="I34" s="44">
        <f t="shared" si="13"/>
        <v>0.28407739991668862</v>
      </c>
      <c r="J34" s="44">
        <f t="shared" si="13"/>
        <v>0.27426568262290452</v>
      </c>
      <c r="K34" s="44">
        <f t="shared" si="13"/>
        <v>0.29316304953869765</v>
      </c>
      <c r="L34" s="44">
        <f t="shared" si="13"/>
        <v>0.30494913249435573</v>
      </c>
      <c r="M34" s="44">
        <f t="shared" si="13"/>
        <v>0.26899828480781568</v>
      </c>
    </row>
    <row r="36" spans="2:13" x14ac:dyDescent="0.3">
      <c r="B36" s="45" t="s">
        <v>69</v>
      </c>
      <c r="C36" s="48">
        <f>IFERROR(C30-C33,0)</f>
        <v>1678.3500000000004</v>
      </c>
      <c r="D36" s="48">
        <f t="shared" ref="D36:M36" si="14">IFERROR(D30-D33,0)</f>
        <v>1761.110000000001</v>
      </c>
      <c r="E36" s="48">
        <f t="shared" si="14"/>
        <v>1934.2700000000013</v>
      </c>
      <c r="F36" s="48">
        <f t="shared" si="14"/>
        <v>2424.0899999999979</v>
      </c>
      <c r="G36" s="48">
        <f t="shared" si="14"/>
        <v>2875.1000000000031</v>
      </c>
      <c r="H36" s="48">
        <f t="shared" si="14"/>
        <v>2788.9299999999985</v>
      </c>
      <c r="I36" s="48">
        <f t="shared" si="14"/>
        <v>3763.8699999999953</v>
      </c>
      <c r="J36" s="48">
        <f t="shared" si="14"/>
        <v>4736.7300000000014</v>
      </c>
      <c r="K36" s="48">
        <f t="shared" si="14"/>
        <v>3359.4900000000025</v>
      </c>
      <c r="L36" s="48">
        <f t="shared" si="14"/>
        <v>3666.7200000000039</v>
      </c>
      <c r="M36" s="48">
        <f t="shared" si="14"/>
        <v>4764.829999999999</v>
      </c>
    </row>
    <row r="37" spans="2:13" x14ac:dyDescent="0.3">
      <c r="B37" s="42" t="s">
        <v>70</v>
      </c>
      <c r="C37" s="44">
        <f>C36/C6</f>
        <v>0.1114294990237014</v>
      </c>
      <c r="D37" s="44">
        <f t="shared" ref="D37:M37" si="15">D36/D6</f>
        <v>0.10467501359620324</v>
      </c>
      <c r="E37" s="44">
        <f t="shared" si="15"/>
        <v>0.1005331045060507</v>
      </c>
      <c r="F37" s="44">
        <f t="shared" si="15"/>
        <v>0.1199376584822808</v>
      </c>
      <c r="G37" s="44">
        <f t="shared" si="15"/>
        <v>0.13241504200980173</v>
      </c>
      <c r="H37" s="44">
        <f t="shared" si="15"/>
        <v>9.5835303464314917E-2</v>
      </c>
      <c r="I37" s="44">
        <f t="shared" si="15"/>
        <v>0.10913377438741322</v>
      </c>
      <c r="J37" s="44">
        <f t="shared" si="15"/>
        <v>0.13344882465650537</v>
      </c>
      <c r="K37" s="44">
        <f t="shared" si="15"/>
        <v>9.9083573755619339E-2</v>
      </c>
      <c r="L37" s="44">
        <f t="shared" si="15"/>
        <v>0.10304539683235574</v>
      </c>
      <c r="M37" s="44">
        <f t="shared" si="15"/>
        <v>0.12813184632342597</v>
      </c>
    </row>
    <row r="39" spans="2:13" x14ac:dyDescent="0.3">
      <c r="B39" t="s">
        <v>71</v>
      </c>
      <c r="C39" s="96">
        <f>IFERROR('Data Sheet'!B93,0)</f>
        <v>95.92</v>
      </c>
      <c r="D39" s="96">
        <f>IFERROR('Data Sheet'!C93,0)</f>
        <v>95.92</v>
      </c>
      <c r="E39" s="96">
        <f>IFERROR('Data Sheet'!D93,0)</f>
        <v>95.92</v>
      </c>
      <c r="F39" s="96">
        <f>IFERROR('Data Sheet'!E93,0)</f>
        <v>95.92</v>
      </c>
      <c r="G39" s="96">
        <f>IFERROR('Data Sheet'!F93,0)</f>
        <v>95.92</v>
      </c>
      <c r="H39" s="96">
        <f>IFERROR('Data Sheet'!G93,0)</f>
        <v>95.92</v>
      </c>
      <c r="I39" s="96">
        <f>IFERROR('Data Sheet'!H93,0)</f>
        <v>95.92</v>
      </c>
      <c r="J39" s="96">
        <f>IFERROR('Data Sheet'!I93,0)</f>
        <v>95.92</v>
      </c>
      <c r="K39" s="96">
        <f>IFERROR('Data Sheet'!J93,0)</f>
        <v>95.92</v>
      </c>
      <c r="L39" s="96">
        <f>IFERROR('Data Sheet'!K93,0)</f>
        <v>95.92</v>
      </c>
      <c r="M39" s="96">
        <f>L39</f>
        <v>95.92</v>
      </c>
    </row>
    <row r="40" spans="2:13" x14ac:dyDescent="0.3"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</row>
    <row r="41" spans="2:13" x14ac:dyDescent="0.3">
      <c r="B41" t="s">
        <v>72</v>
      </c>
      <c r="C41" s="47">
        <f>IFERROR(C36/C39,0)</f>
        <v>17.497393661384489</v>
      </c>
      <c r="D41" s="47">
        <f t="shared" ref="D41:M41" si="16">IFERROR(D36/D39,0)</f>
        <v>18.360195996663897</v>
      </c>
      <c r="E41" s="47">
        <f t="shared" si="16"/>
        <v>20.165450375312773</v>
      </c>
      <c r="F41" s="47">
        <f t="shared" si="16"/>
        <v>25.271997497914906</v>
      </c>
      <c r="G41" s="47">
        <f t="shared" si="16"/>
        <v>29.973936613844902</v>
      </c>
      <c r="H41" s="47">
        <f t="shared" si="16"/>
        <v>29.075583819849857</v>
      </c>
      <c r="I41" s="47">
        <f t="shared" si="16"/>
        <v>39.23967889908252</v>
      </c>
      <c r="J41" s="47">
        <f t="shared" si="16"/>
        <v>49.382089241034208</v>
      </c>
      <c r="K41" s="47">
        <f t="shared" si="16"/>
        <v>35.023874061718125</v>
      </c>
      <c r="L41" s="47">
        <f t="shared" si="16"/>
        <v>38.226855713094288</v>
      </c>
      <c r="M41" s="47">
        <f t="shared" si="16"/>
        <v>49.67504170141784</v>
      </c>
    </row>
    <row r="42" spans="2:13" x14ac:dyDescent="0.3">
      <c r="B42" s="42" t="s">
        <v>73</v>
      </c>
      <c r="C42" s="44"/>
      <c r="D42" s="44">
        <f>IFERROR(D41/C41-1,0)</f>
        <v>4.9310334554771629E-2</v>
      </c>
      <c r="E42" s="44">
        <f t="shared" ref="E42:K42" si="17">IFERROR(E41/D41-1,0)</f>
        <v>9.8324352255111824E-2</v>
      </c>
      <c r="F42" s="44">
        <f t="shared" si="17"/>
        <v>0.25323248564057566</v>
      </c>
      <c r="G42" s="44">
        <f t="shared" si="17"/>
        <v>0.1860533231026924</v>
      </c>
      <c r="H42" s="44">
        <f t="shared" si="17"/>
        <v>-2.9971131438908061E-2</v>
      </c>
      <c r="I42" s="44">
        <f t="shared" si="17"/>
        <v>0.34957492658474676</v>
      </c>
      <c r="J42" s="44">
        <f t="shared" si="17"/>
        <v>0.25847332665581102</v>
      </c>
      <c r="K42" s="44">
        <f t="shared" si="17"/>
        <v>-0.29075754792863395</v>
      </c>
      <c r="L42" s="44">
        <f>IFERROR(L41/K41-1,0)</f>
        <v>9.1451381013189836E-2</v>
      </c>
      <c r="M42" s="44">
        <f>IFERROR(M41/L41-1,0)</f>
        <v>0.29948018937906196</v>
      </c>
    </row>
    <row r="44" spans="2:13" x14ac:dyDescent="0.3">
      <c r="B44" t="s">
        <v>74</v>
      </c>
      <c r="C44" s="113">
        <f>IFERROR('Data Sheet'!B31/HistoricalFS!C39,0)</f>
        <v>10.300041701417848</v>
      </c>
      <c r="D44" s="113">
        <f>IFERROR('Data Sheet'!C31/HistoricalFS!D39,0)</f>
        <v>8.6999582985821515</v>
      </c>
      <c r="E44" s="111">
        <f>IFERROR('Data Sheet'!D31/HistoricalFS!E39,0)</f>
        <v>10.5</v>
      </c>
      <c r="F44" s="111">
        <f>IFERROR('Data Sheet'!E31/HistoricalFS!F39,0)</f>
        <v>12</v>
      </c>
      <c r="G44" s="111">
        <f>IFERROR('Data Sheet'!F31/HistoricalFS!G39,0)</f>
        <v>17.849979149291077</v>
      </c>
      <c r="H44" s="111">
        <f>IFERROR('Data Sheet'!G31/HistoricalFS!H39,0)</f>
        <v>19.150020850708923</v>
      </c>
      <c r="I44" s="111">
        <f>IFERROR('Data Sheet'!H31/HistoricalFS!I39,0)</f>
        <v>25.650020850708923</v>
      </c>
      <c r="J44" s="111">
        <f>IFERROR('Data Sheet'!I31/HistoricalFS!J39,0)</f>
        <v>33.300041701417847</v>
      </c>
      <c r="K44" s="111">
        <f>IFERROR('Data Sheet'!J31/HistoricalFS!K39,0)</f>
        <v>24.80004170141785</v>
      </c>
      <c r="L44" s="111">
        <f>IFERROR('Data Sheet'!K31/HistoricalFS!L39,0)</f>
        <v>27.5</v>
      </c>
      <c r="M44" s="111">
        <f>IFERROR('Data Sheet'!L31/HistoricalFS!M39,0)</f>
        <v>0</v>
      </c>
    </row>
    <row r="45" spans="2:13" x14ac:dyDescent="0.3">
      <c r="B45" s="42" t="s">
        <v>75</v>
      </c>
      <c r="C45" s="44">
        <f>IFERROR(C44/C41,0)</f>
        <v>0.5886614830041409</v>
      </c>
      <c r="D45" s="44">
        <f t="shared" ref="D45:M45" si="18">IFERROR(D44/D41,0)</f>
        <v>0.47384887939992359</v>
      </c>
      <c r="E45" s="44">
        <f t="shared" si="18"/>
        <v>0.52069256101785133</v>
      </c>
      <c r="F45" s="44">
        <f t="shared" si="18"/>
        <v>0.47483385517864479</v>
      </c>
      <c r="G45" s="44">
        <f t="shared" si="18"/>
        <v>0.59551667768077576</v>
      </c>
      <c r="H45" s="44">
        <f t="shared" si="18"/>
        <v>0.65862893654555732</v>
      </c>
      <c r="I45" s="44">
        <f t="shared" si="18"/>
        <v>0.65367560516170931</v>
      </c>
      <c r="J45" s="44">
        <f t="shared" si="18"/>
        <v>0.67433440369199826</v>
      </c>
      <c r="K45" s="44">
        <f t="shared" si="18"/>
        <v>0.70808962074600557</v>
      </c>
      <c r="L45" s="44">
        <f t="shared" si="18"/>
        <v>0.71938953615220058</v>
      </c>
      <c r="M45" s="44">
        <f t="shared" si="18"/>
        <v>0</v>
      </c>
    </row>
    <row r="47" spans="2:13" x14ac:dyDescent="0.3">
      <c r="B47" t="s">
        <v>76</v>
      </c>
      <c r="C47" s="6">
        <f>IFERROR(IF(C41&gt;C44,1-C45,0),0)</f>
        <v>0.4113385169958591</v>
      </c>
      <c r="D47" s="6">
        <f t="shared" ref="D47:M47" si="19">IFERROR(IF(D41&gt;D44,1-D45,0),0)</f>
        <v>0.52615112060007641</v>
      </c>
      <c r="E47" s="6">
        <f t="shared" si="19"/>
        <v>0.47930743898214867</v>
      </c>
      <c r="F47" s="6">
        <f t="shared" si="19"/>
        <v>0.52516614482135515</v>
      </c>
      <c r="G47" s="6">
        <f t="shared" si="19"/>
        <v>0.40448332231922424</v>
      </c>
      <c r="H47" s="6">
        <f t="shared" si="19"/>
        <v>0.34137106345444268</v>
      </c>
      <c r="I47" s="6">
        <f t="shared" si="19"/>
        <v>0.34632439483829069</v>
      </c>
      <c r="J47" s="6">
        <f t="shared" si="19"/>
        <v>0.32566559630800174</v>
      </c>
      <c r="K47" s="6">
        <f t="shared" si="19"/>
        <v>0.29191037925399443</v>
      </c>
      <c r="L47" s="6">
        <f t="shared" si="19"/>
        <v>0.28061046384779942</v>
      </c>
      <c r="M47" s="6">
        <f t="shared" si="19"/>
        <v>1</v>
      </c>
    </row>
    <row r="49" spans="1:13" x14ac:dyDescent="0.3">
      <c r="A49" t="s">
        <v>48</v>
      </c>
      <c r="B49" s="41" t="s">
        <v>77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B50" t="s">
        <v>78</v>
      </c>
      <c r="C50" s="111">
        <f>IFERROR('Data Sheet'!B57,0)</f>
        <v>95.92</v>
      </c>
      <c r="D50" s="111">
        <f>IFERROR('Data Sheet'!C57,0)</f>
        <v>95.92</v>
      </c>
      <c r="E50" s="111">
        <f>IFERROR('Data Sheet'!D57,0)</f>
        <v>95.92</v>
      </c>
      <c r="F50" s="111">
        <f>IFERROR('Data Sheet'!E57,0)</f>
        <v>95.92</v>
      </c>
      <c r="G50" s="111">
        <f>IFERROR('Data Sheet'!F57,0)</f>
        <v>95.92</v>
      </c>
      <c r="H50" s="111">
        <f>IFERROR('Data Sheet'!G57,0)</f>
        <v>95.92</v>
      </c>
      <c r="I50" s="111">
        <f>IFERROR('Data Sheet'!H57,0)</f>
        <v>95.92</v>
      </c>
      <c r="J50" s="111">
        <f>IFERROR('Data Sheet'!I57,0)</f>
        <v>95.92</v>
      </c>
      <c r="K50" s="111">
        <f>IFERROR('Data Sheet'!J57,0)</f>
        <v>95.92</v>
      </c>
      <c r="L50" s="111">
        <f>IFERROR('Data Sheet'!K57,0)</f>
        <v>95.92</v>
      </c>
    </row>
    <row r="51" spans="1:13" x14ac:dyDescent="0.3">
      <c r="B51" t="s">
        <v>79</v>
      </c>
      <c r="C51" s="111">
        <f>IFERROR('Data Sheet'!B58,0)</f>
        <v>7507.97</v>
      </c>
      <c r="D51" s="111">
        <f>IFERROR('Data Sheet'!C58,0)</f>
        <v>8314.31</v>
      </c>
      <c r="E51" s="111">
        <f>IFERROR('Data Sheet'!D58,0)</f>
        <v>9374.6299999999992</v>
      </c>
      <c r="F51" s="111">
        <f>IFERROR('Data Sheet'!E58,0)</f>
        <v>10034.24</v>
      </c>
      <c r="G51" s="111">
        <f>IFERROR('Data Sheet'!F58,0)</f>
        <v>12710.37</v>
      </c>
      <c r="H51" s="111">
        <f>IFERROR('Data Sheet'!G58,0)</f>
        <v>13715.64</v>
      </c>
      <c r="I51" s="111">
        <f>IFERROR('Data Sheet'!H58,0)</f>
        <v>15896.31</v>
      </c>
      <c r="J51" s="111">
        <f>IFERROR('Data Sheet'!I58,0)</f>
        <v>18632.38</v>
      </c>
      <c r="K51" s="111">
        <f>IFERROR('Data Sheet'!J58,0)</f>
        <v>19303.89</v>
      </c>
      <c r="L51" s="111">
        <f>IFERROR('Data Sheet'!K58,0)</f>
        <v>21275.67</v>
      </c>
    </row>
    <row r="52" spans="1:13" x14ac:dyDescent="0.3">
      <c r="B52" t="s">
        <v>80</v>
      </c>
      <c r="C52" s="111">
        <f>IFERROR('Data Sheet'!B59,0)</f>
        <v>560.34</v>
      </c>
      <c r="D52" s="111">
        <f>IFERROR('Data Sheet'!C59,0)</f>
        <v>533.42999999999995</v>
      </c>
      <c r="E52" s="111">
        <f>IFERROR('Data Sheet'!D59,0)</f>
        <v>1319.6</v>
      </c>
      <c r="F52" s="111">
        <f>IFERROR('Data Sheet'!E59,0)</f>
        <v>1118.5</v>
      </c>
      <c r="G52" s="111">
        <f>IFERROR('Data Sheet'!F59,0)</f>
        <v>1093.1199999999999</v>
      </c>
      <c r="H52" s="111">
        <f>IFERROR('Data Sheet'!G59,0)</f>
        <v>1586.88</v>
      </c>
      <c r="I52" s="111">
        <f>IFERROR('Data Sheet'!H59,0)</f>
        <v>1932.62</v>
      </c>
      <c r="J52" s="111">
        <f>IFERROR('Data Sheet'!I59,0)</f>
        <v>2474.38</v>
      </c>
      <c r="K52" s="111">
        <f>IFERROR('Data Sheet'!J59,0)</f>
        <v>2290.29</v>
      </c>
      <c r="L52" s="111">
        <f>IFERROR('Data Sheet'!K59,0)</f>
        <v>3928.93</v>
      </c>
    </row>
    <row r="53" spans="1:13" x14ac:dyDescent="0.3">
      <c r="B53" t="s">
        <v>81</v>
      </c>
      <c r="C53" s="111">
        <f>IFERROR('Data Sheet'!B60,0)</f>
        <v>4240.96</v>
      </c>
      <c r="D53" s="111">
        <f>IFERROR('Data Sheet'!C60,0)</f>
        <v>4819.82</v>
      </c>
      <c r="E53" s="111">
        <f>IFERROR('Data Sheet'!D60,0)</f>
        <v>5458.69</v>
      </c>
      <c r="F53" s="111">
        <f>IFERROR('Data Sheet'!E60,0)</f>
        <v>4889.3100000000004</v>
      </c>
      <c r="G53" s="111">
        <f>IFERROR('Data Sheet'!F60,0)</f>
        <v>6455.93</v>
      </c>
      <c r="H53" s="111">
        <f>IFERROR('Data Sheet'!G60,0)</f>
        <v>7559.99</v>
      </c>
      <c r="I53" s="111">
        <f>IFERROR('Data Sheet'!H60,0)</f>
        <v>7854.48</v>
      </c>
      <c r="J53" s="111">
        <f>IFERROR('Data Sheet'!I60,0)</f>
        <v>8698.09</v>
      </c>
      <c r="K53" s="111">
        <f>IFERROR('Data Sheet'!J60,0)</f>
        <v>8665.15</v>
      </c>
      <c r="L53" s="111">
        <f>IFERROR('Data Sheet'!K60,0)</f>
        <v>9218.23</v>
      </c>
    </row>
    <row r="54" spans="1:13" x14ac:dyDescent="0.3">
      <c r="B54" s="45" t="s">
        <v>82</v>
      </c>
      <c r="C54" s="48">
        <f>IFERROR('Data Sheet'!B61,0)</f>
        <v>12405.19</v>
      </c>
      <c r="D54" s="48">
        <f>IFERROR('Data Sheet'!C61,0)</f>
        <v>13763.48</v>
      </c>
      <c r="E54" s="48">
        <f>IFERROR('Data Sheet'!D61,0)</f>
        <v>16248.84</v>
      </c>
      <c r="F54" s="48">
        <f>IFERROR('Data Sheet'!E61,0)</f>
        <v>16137.97</v>
      </c>
      <c r="G54" s="48">
        <f>IFERROR('Data Sheet'!F61,0)</f>
        <v>20355.34</v>
      </c>
      <c r="H54" s="48">
        <f>IFERROR('Data Sheet'!G61,0)</f>
        <v>22958.43</v>
      </c>
      <c r="I54" s="48">
        <f>IFERROR('Data Sheet'!H61,0)</f>
        <v>25779.33</v>
      </c>
      <c r="J54" s="48">
        <f>IFERROR('Data Sheet'!I61,0)</f>
        <v>29900.77</v>
      </c>
      <c r="K54" s="48">
        <f>IFERROR('Data Sheet'!J61,0)</f>
        <v>30355.25</v>
      </c>
      <c r="L54" s="48">
        <f>IFERROR('Data Sheet'!K61,0)</f>
        <v>34518.75</v>
      </c>
      <c r="M54" s="1"/>
    </row>
    <row r="56" spans="1:13" x14ac:dyDescent="0.3">
      <c r="B56" t="s">
        <v>83</v>
      </c>
      <c r="C56" s="111">
        <f>IFERROR('Data Sheet'!B62,0)</f>
        <v>3303.74</v>
      </c>
      <c r="D56" s="111">
        <f>IFERROR('Data Sheet'!C62,0)</f>
        <v>3732.24</v>
      </c>
      <c r="E56" s="111">
        <f>IFERROR('Data Sheet'!D62,0)</f>
        <v>6496.56</v>
      </c>
      <c r="F56" s="111">
        <f>IFERROR('Data Sheet'!E62,0)</f>
        <v>6272.31</v>
      </c>
      <c r="G56" s="111">
        <f>IFERROR('Data Sheet'!F62,0)</f>
        <v>5858.52</v>
      </c>
      <c r="H56" s="111">
        <f>IFERROR('Data Sheet'!G62,0)</f>
        <v>5519.06</v>
      </c>
      <c r="I56" s="111">
        <f>IFERROR('Data Sheet'!H62,0)</f>
        <v>5770.46</v>
      </c>
      <c r="J56" s="111">
        <f>IFERROR('Data Sheet'!I62,0)</f>
        <v>7146.62</v>
      </c>
      <c r="K56" s="111">
        <f>IFERROR('Data Sheet'!J62,0)</f>
        <v>9220.1</v>
      </c>
      <c r="L56" s="111">
        <f>IFERROR('Data Sheet'!K62,0)</f>
        <v>9640.2800000000007</v>
      </c>
    </row>
    <row r="57" spans="1:13" x14ac:dyDescent="0.3">
      <c r="B57" t="s">
        <v>84</v>
      </c>
      <c r="C57" s="111">
        <f>IFERROR('Data Sheet'!B63,0)</f>
        <v>257.54000000000002</v>
      </c>
      <c r="D57" s="111">
        <f>IFERROR('Data Sheet'!C63,0)</f>
        <v>1405.11</v>
      </c>
      <c r="E57" s="111">
        <f>IFERROR('Data Sheet'!D63,0)</f>
        <v>209.67</v>
      </c>
      <c r="F57" s="111">
        <f>IFERROR('Data Sheet'!E63,0)</f>
        <v>140.24</v>
      </c>
      <c r="G57" s="111">
        <f>IFERROR('Data Sheet'!F63,0)</f>
        <v>182.98</v>
      </c>
      <c r="H57" s="111">
        <f>IFERROR('Data Sheet'!G63,0)</f>
        <v>426.43</v>
      </c>
      <c r="I57" s="111">
        <f>IFERROR('Data Sheet'!H63,0)</f>
        <v>1019.59</v>
      </c>
      <c r="J57" s="111">
        <f>IFERROR('Data Sheet'!I63,0)</f>
        <v>2698.37</v>
      </c>
      <c r="K57" s="111">
        <f>IFERROR('Data Sheet'!J63,0)</f>
        <v>1254.49</v>
      </c>
      <c r="L57" s="111">
        <f>IFERROR('Data Sheet'!K63,0)</f>
        <v>1848.67</v>
      </c>
    </row>
    <row r="58" spans="1:13" x14ac:dyDescent="0.3">
      <c r="B58" t="s">
        <v>85</v>
      </c>
      <c r="C58" s="111">
        <f>IFERROR('Data Sheet'!B64,0)</f>
        <v>2651.99</v>
      </c>
      <c r="D58" s="111">
        <f>IFERROR('Data Sheet'!C64,0)</f>
        <v>2140.6999999999998</v>
      </c>
      <c r="E58" s="111">
        <f>IFERROR('Data Sheet'!D64,0)</f>
        <v>2568.58</v>
      </c>
      <c r="F58" s="111">
        <f>IFERROR('Data Sheet'!E64,0)</f>
        <v>2018.85</v>
      </c>
      <c r="G58" s="111">
        <f>IFERROR('Data Sheet'!F64,0)</f>
        <v>4736.8</v>
      </c>
      <c r="H58" s="111">
        <f>IFERROR('Data Sheet'!G64,0)</f>
        <v>3247.53</v>
      </c>
      <c r="I58" s="111">
        <f>IFERROR('Data Sheet'!H64,0)</f>
        <v>4261.71</v>
      </c>
      <c r="J58" s="111">
        <f>IFERROR('Data Sheet'!I64,0)</f>
        <v>4587.92</v>
      </c>
      <c r="K58" s="111">
        <f>IFERROR('Data Sheet'!J64,0)</f>
        <v>4724.75</v>
      </c>
      <c r="L58" s="111">
        <f>IFERROR('Data Sheet'!K64,0)</f>
        <v>7061.74</v>
      </c>
    </row>
    <row r="59" spans="1:13" x14ac:dyDescent="0.3">
      <c r="B59" t="s">
        <v>86</v>
      </c>
      <c r="C59" s="111">
        <f>IFERROR('Data Sheet'!B65-SUM('Data Sheet'!B67:B69),0)</f>
        <v>1317.17</v>
      </c>
      <c r="D59" s="111">
        <f>IFERROR('Data Sheet'!C65-SUM('Data Sheet'!C67:C69),0)</f>
        <v>1691.8400000000001</v>
      </c>
      <c r="E59" s="111">
        <f>IFERROR('Data Sheet'!D65-SUM('Data Sheet'!D67:D69),0)</f>
        <v>1471.9599999999991</v>
      </c>
      <c r="F59" s="111">
        <f>IFERROR('Data Sheet'!E65-SUM('Data Sheet'!E67:E69),0)</f>
        <v>1738.71</v>
      </c>
      <c r="G59" s="111">
        <f>IFERROR('Data Sheet'!F65-SUM('Data Sheet'!F67:F69),0)</f>
        <v>2565.5200000000004</v>
      </c>
      <c r="H59" s="111">
        <f>IFERROR('Data Sheet'!G65-SUM('Data Sheet'!G67:G69),0)</f>
        <v>2876.66</v>
      </c>
      <c r="I59" s="111">
        <f>IFERROR('Data Sheet'!H65-SUM('Data Sheet'!H67:H69),0)</f>
        <v>3036.17</v>
      </c>
      <c r="J59" s="111">
        <f>IFERROR('Data Sheet'!I65-SUM('Data Sheet'!I67:I69),0)</f>
        <v>3571.3900000000012</v>
      </c>
      <c r="K59" s="111">
        <f>IFERROR('Data Sheet'!J65-SUM('Data Sheet'!J67:J69),0)</f>
        <v>3341.01</v>
      </c>
      <c r="L59" s="111">
        <f>IFERROR('Data Sheet'!K65-SUM('Data Sheet'!K67:K69),0)</f>
        <v>4688.8899999999994</v>
      </c>
    </row>
    <row r="60" spans="1:13" x14ac:dyDescent="0.3">
      <c r="B60" s="45" t="s">
        <v>87</v>
      </c>
      <c r="C60" s="48">
        <f>SUM(C56:C59)</f>
        <v>7530.44</v>
      </c>
      <c r="D60" s="48">
        <f t="shared" ref="D60:L60" si="20">SUM(D56:D59)</f>
        <v>8969.89</v>
      </c>
      <c r="E60" s="48">
        <f t="shared" si="20"/>
        <v>10746.77</v>
      </c>
      <c r="F60" s="48">
        <f t="shared" si="20"/>
        <v>10170.11</v>
      </c>
      <c r="G60" s="48">
        <f t="shared" si="20"/>
        <v>13343.82</v>
      </c>
      <c r="H60" s="48">
        <f t="shared" si="20"/>
        <v>12069.68</v>
      </c>
      <c r="I60" s="48">
        <f t="shared" si="20"/>
        <v>14087.93</v>
      </c>
      <c r="J60" s="48">
        <f t="shared" si="20"/>
        <v>18004.300000000003</v>
      </c>
      <c r="K60" s="48">
        <f t="shared" si="20"/>
        <v>18540.349999999999</v>
      </c>
      <c r="L60" s="48">
        <f t="shared" si="20"/>
        <v>23239.58</v>
      </c>
    </row>
    <row r="61" spans="1:13" x14ac:dyDescent="0.3">
      <c r="B61" s="1"/>
    </row>
    <row r="62" spans="1:13" x14ac:dyDescent="0.3">
      <c r="B62" t="s">
        <v>88</v>
      </c>
      <c r="C62" s="111">
        <f>IFERROR('Data Sheet'!B67,0)</f>
        <v>1446.6</v>
      </c>
      <c r="D62" s="111">
        <f>IFERROR('Data Sheet'!C67,0)</f>
        <v>1730.63</v>
      </c>
      <c r="E62" s="111">
        <f>IFERROR('Data Sheet'!D67,0)</f>
        <v>1907.33</v>
      </c>
      <c r="F62" s="111">
        <f>IFERROR('Data Sheet'!E67,0)</f>
        <v>1795.22</v>
      </c>
      <c r="G62" s="111">
        <f>IFERROR('Data Sheet'!F67,0)</f>
        <v>2602.17</v>
      </c>
      <c r="H62" s="111">
        <f>IFERROR('Data Sheet'!G67,0)</f>
        <v>3871.44</v>
      </c>
      <c r="I62" s="111">
        <f>IFERROR('Data Sheet'!H67,0)</f>
        <v>4636.9399999999996</v>
      </c>
      <c r="J62" s="111">
        <f>IFERROR('Data Sheet'!I67,0)</f>
        <v>4889.05</v>
      </c>
      <c r="K62" s="111">
        <f>IFERROR('Data Sheet'!J67,0)</f>
        <v>4313.6499999999996</v>
      </c>
      <c r="L62" s="111">
        <f>IFERROR('Data Sheet'!K67,0)</f>
        <v>4461.8</v>
      </c>
    </row>
    <row r="63" spans="1:13" x14ac:dyDescent="0.3">
      <c r="B63" t="s">
        <v>89</v>
      </c>
      <c r="C63" s="111">
        <f>IFERROR('Data Sheet'!B68,0)</f>
        <v>2626.94</v>
      </c>
      <c r="D63" s="111">
        <f>IFERROR('Data Sheet'!C68,0)</f>
        <v>2658.31</v>
      </c>
      <c r="E63" s="111">
        <f>IFERROR('Data Sheet'!D68,0)</f>
        <v>3149.86</v>
      </c>
      <c r="F63" s="111">
        <f>IFERROR('Data Sheet'!E68,0)</f>
        <v>3389.81</v>
      </c>
      <c r="G63" s="111">
        <f>IFERROR('Data Sheet'!F68,0)</f>
        <v>3798.6</v>
      </c>
      <c r="H63" s="111">
        <f>IFERROR('Data Sheet'!G68,0)</f>
        <v>6152.98</v>
      </c>
      <c r="I63" s="111">
        <f>IFERROR('Data Sheet'!H68,0)</f>
        <v>6210.64</v>
      </c>
      <c r="J63" s="111">
        <f>IFERROR('Data Sheet'!I68,0)</f>
        <v>5923.41</v>
      </c>
      <c r="K63" s="111">
        <f>IFERROR('Data Sheet'!J68,0)</f>
        <v>6719.27</v>
      </c>
      <c r="L63" s="111">
        <f>IFERROR('Data Sheet'!K68,0)</f>
        <v>5743.69</v>
      </c>
    </row>
    <row r="64" spans="1:13" x14ac:dyDescent="0.3">
      <c r="B64" t="s">
        <v>90</v>
      </c>
      <c r="C64" s="111">
        <f>IFERROR('Data Sheet'!B69,0)</f>
        <v>801.21</v>
      </c>
      <c r="D64" s="111">
        <f>IFERROR('Data Sheet'!C69,0)</f>
        <v>404.65</v>
      </c>
      <c r="E64" s="111">
        <f>IFERROR('Data Sheet'!D69,0)</f>
        <v>444.88</v>
      </c>
      <c r="F64" s="111">
        <f>IFERROR('Data Sheet'!E69,0)</f>
        <v>782.83</v>
      </c>
      <c r="G64" s="111">
        <f>IFERROR('Data Sheet'!F69,0)</f>
        <v>610.75</v>
      </c>
      <c r="H64" s="111">
        <f>IFERROR('Data Sheet'!G69,0)</f>
        <v>864.33</v>
      </c>
      <c r="I64" s="111">
        <f>IFERROR('Data Sheet'!H69,0)</f>
        <v>843.82</v>
      </c>
      <c r="J64" s="111">
        <f>IFERROR('Data Sheet'!I69,0)</f>
        <v>1084.01</v>
      </c>
      <c r="K64" s="111">
        <f>IFERROR('Data Sheet'!J69,0)</f>
        <v>781.98</v>
      </c>
      <c r="L64" s="111">
        <f>IFERROR('Data Sheet'!K69,0)</f>
        <v>1073.68</v>
      </c>
    </row>
    <row r="65" spans="1:13" x14ac:dyDescent="0.3">
      <c r="B65" s="45" t="s">
        <v>91</v>
      </c>
      <c r="C65" s="48">
        <f>IFERROR(SUM(C62:C64),0)</f>
        <v>4874.75</v>
      </c>
      <c r="D65" s="48">
        <f t="shared" ref="D65:L65" si="21">IFERROR(SUM(D62:D64),0)</f>
        <v>4793.59</v>
      </c>
      <c r="E65" s="48">
        <f t="shared" si="21"/>
        <v>5502.0700000000006</v>
      </c>
      <c r="F65" s="48">
        <f t="shared" si="21"/>
        <v>5967.86</v>
      </c>
      <c r="G65" s="48">
        <f t="shared" si="21"/>
        <v>7011.52</v>
      </c>
      <c r="H65" s="48">
        <f t="shared" si="21"/>
        <v>10888.75</v>
      </c>
      <c r="I65" s="48">
        <f t="shared" si="21"/>
        <v>11691.4</v>
      </c>
      <c r="J65" s="48">
        <f t="shared" si="21"/>
        <v>11896.47</v>
      </c>
      <c r="K65" s="48">
        <f t="shared" si="21"/>
        <v>11814.9</v>
      </c>
      <c r="L65" s="48">
        <f t="shared" si="21"/>
        <v>11279.17</v>
      </c>
    </row>
    <row r="67" spans="1:13" x14ac:dyDescent="0.3">
      <c r="B67" s="45" t="s">
        <v>92</v>
      </c>
      <c r="C67" s="48">
        <f>IFERROR(C65+C60,0)</f>
        <v>12405.189999999999</v>
      </c>
      <c r="D67" s="48">
        <f t="shared" ref="D67:L67" si="22">IFERROR(D65+D60,0)</f>
        <v>13763.48</v>
      </c>
      <c r="E67" s="48">
        <f t="shared" si="22"/>
        <v>16248.84</v>
      </c>
      <c r="F67" s="48">
        <f t="shared" si="22"/>
        <v>16137.970000000001</v>
      </c>
      <c r="G67" s="48">
        <f t="shared" si="22"/>
        <v>20355.34</v>
      </c>
      <c r="H67" s="48">
        <f t="shared" si="22"/>
        <v>22958.43</v>
      </c>
      <c r="I67" s="48">
        <f t="shared" si="22"/>
        <v>25779.33</v>
      </c>
      <c r="J67" s="48">
        <f t="shared" si="22"/>
        <v>29900.770000000004</v>
      </c>
      <c r="K67" s="48">
        <f t="shared" si="22"/>
        <v>30355.25</v>
      </c>
      <c r="L67" s="48">
        <f t="shared" si="22"/>
        <v>34518.75</v>
      </c>
    </row>
    <row r="69" spans="1:13" x14ac:dyDescent="0.3">
      <c r="B69" s="110" t="s">
        <v>93</v>
      </c>
      <c r="C69" s="114" t="b">
        <f>C67=C54</f>
        <v>1</v>
      </c>
      <c r="D69" s="114" t="b">
        <f t="shared" ref="D69:L69" si="23">D67=D54</f>
        <v>1</v>
      </c>
      <c r="E69" s="114" t="b">
        <f t="shared" si="23"/>
        <v>1</v>
      </c>
      <c r="F69" s="114" t="b">
        <f t="shared" si="23"/>
        <v>1</v>
      </c>
      <c r="G69" s="114" t="b">
        <f t="shared" si="23"/>
        <v>1</v>
      </c>
      <c r="H69" s="114" t="b">
        <f t="shared" si="23"/>
        <v>1</v>
      </c>
      <c r="I69" s="114" t="b">
        <f t="shared" si="23"/>
        <v>1</v>
      </c>
      <c r="J69" s="114" t="b">
        <f t="shared" si="23"/>
        <v>1</v>
      </c>
      <c r="K69" s="114" t="b">
        <f t="shared" si="23"/>
        <v>1</v>
      </c>
      <c r="L69" s="114" t="b">
        <f t="shared" si="23"/>
        <v>1</v>
      </c>
    </row>
    <row r="71" spans="1:13" x14ac:dyDescent="0.3">
      <c r="A71" t="s">
        <v>48</v>
      </c>
      <c r="B71" s="41" t="s">
        <v>94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">
      <c r="B72" s="1"/>
    </row>
    <row r="73" spans="1:13" x14ac:dyDescent="0.3">
      <c r="B73" t="s">
        <v>95</v>
      </c>
      <c r="C73" s="111">
        <f>'Data Sheet'!B82</f>
        <v>1527.33</v>
      </c>
      <c r="D73" s="111">
        <f>'Data Sheet'!C82</f>
        <v>2113.44</v>
      </c>
      <c r="E73" s="111">
        <f>'Data Sheet'!D82</f>
        <v>2469.54</v>
      </c>
      <c r="F73" s="111">
        <f>'Data Sheet'!E82</f>
        <v>3038.15</v>
      </c>
      <c r="G73" s="111">
        <f>'Data Sheet'!F82</f>
        <v>3683.35</v>
      </c>
      <c r="H73" s="111">
        <f>'Data Sheet'!G82</f>
        <v>986.49</v>
      </c>
      <c r="I73" s="111">
        <f>'Data Sheet'!H82</f>
        <v>4193.43</v>
      </c>
      <c r="J73" s="111">
        <f>'Data Sheet'!I82</f>
        <v>6103.6</v>
      </c>
      <c r="K73" s="111">
        <f>'Data Sheet'!J82</f>
        <v>4423.96</v>
      </c>
      <c r="L73" s="111">
        <f>'Data Sheet'!K82</f>
        <v>7088.18</v>
      </c>
    </row>
    <row r="75" spans="1:13" x14ac:dyDescent="0.3">
      <c r="B75" t="s">
        <v>96</v>
      </c>
      <c r="C75" s="111">
        <f>'Data Sheet'!B83</f>
        <v>-681.11</v>
      </c>
      <c r="D75" s="111">
        <f>'Data Sheet'!C83</f>
        <v>-1556.14</v>
      </c>
      <c r="E75" s="111">
        <f>'Data Sheet'!D83</f>
        <v>-917.79</v>
      </c>
      <c r="F75" s="111">
        <f>'Data Sheet'!E83</f>
        <v>-517.91</v>
      </c>
      <c r="G75" s="111">
        <f>'Data Sheet'!F83</f>
        <v>-540.54</v>
      </c>
      <c r="H75" s="111">
        <f>'Data Sheet'!G83</f>
        <v>-316.75</v>
      </c>
      <c r="I75" s="111">
        <f>'Data Sheet'!H83</f>
        <v>-1282.3399999999999</v>
      </c>
      <c r="J75" s="111">
        <f>'Data Sheet'!I83</f>
        <v>-2548.48</v>
      </c>
      <c r="K75" s="111">
        <f>'Data Sheet'!J83</f>
        <v>-940.91</v>
      </c>
      <c r="L75" s="111">
        <f>'Data Sheet'!K83</f>
        <v>-1328.23</v>
      </c>
    </row>
    <row r="76" spans="1:13" x14ac:dyDescent="0.3">
      <c r="C76" s="96"/>
      <c r="D76" s="96"/>
      <c r="E76" s="96"/>
      <c r="F76" s="96"/>
      <c r="G76" s="96"/>
      <c r="H76" s="96"/>
      <c r="I76" s="96"/>
      <c r="J76" s="96"/>
      <c r="K76" s="96"/>
      <c r="L76" s="96"/>
    </row>
    <row r="77" spans="1:13" x14ac:dyDescent="0.3">
      <c r="B77" t="s">
        <v>97</v>
      </c>
      <c r="C77" s="111">
        <f>'Data Sheet'!B84</f>
        <v>-756.43</v>
      </c>
      <c r="D77" s="111">
        <f>'Data Sheet'!C84</f>
        <v>-1379.14</v>
      </c>
      <c r="E77" s="111">
        <f>'Data Sheet'!D84</f>
        <v>-1117.46</v>
      </c>
      <c r="F77" s="111">
        <f>'Data Sheet'!E84</f>
        <v>-2871.46</v>
      </c>
      <c r="G77" s="111">
        <f>'Data Sheet'!F84</f>
        <v>-650.4</v>
      </c>
      <c r="H77" s="111">
        <f>'Data Sheet'!G84</f>
        <v>-1807.61</v>
      </c>
      <c r="I77" s="111">
        <f>'Data Sheet'!H84</f>
        <v>-2140.0500000000002</v>
      </c>
      <c r="J77" s="111">
        <f>'Data Sheet'!I84</f>
        <v>-2982.5</v>
      </c>
      <c r="K77" s="111">
        <f>'Data Sheet'!J84</f>
        <v>-3752.58</v>
      </c>
      <c r="L77" s="111">
        <f>'Data Sheet'!K84</f>
        <v>-2376.5100000000002</v>
      </c>
    </row>
    <row r="79" spans="1:13" x14ac:dyDescent="0.3">
      <c r="B79" s="1" t="s">
        <v>98</v>
      </c>
      <c r="C79" s="50">
        <f t="shared" ref="C79:L79" si="24">IFERROR(C73+C75+C77,0)</f>
        <v>89.789999999999964</v>
      </c>
      <c r="D79" s="50">
        <f t="shared" si="24"/>
        <v>-821.84000000000015</v>
      </c>
      <c r="E79" s="50">
        <f t="shared" si="24"/>
        <v>434.28999999999996</v>
      </c>
      <c r="F79" s="50">
        <f t="shared" si="24"/>
        <v>-351.2199999999998</v>
      </c>
      <c r="G79" s="50">
        <f t="shared" si="24"/>
        <v>2492.41</v>
      </c>
      <c r="H79" s="50">
        <f t="shared" si="24"/>
        <v>-1137.8699999999999</v>
      </c>
      <c r="I79" s="50">
        <f t="shared" si="24"/>
        <v>771.04</v>
      </c>
      <c r="J79" s="50">
        <f t="shared" si="24"/>
        <v>572.62000000000035</v>
      </c>
      <c r="K79" s="50">
        <f t="shared" si="24"/>
        <v>-269.52999999999975</v>
      </c>
      <c r="L79" s="50">
        <f t="shared" si="24"/>
        <v>3383.4400000000005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C15 D15:L15 M6 M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8B84-5E8B-4704-B9B2-4DC58F0639CC}">
  <dimension ref="B2:J37"/>
  <sheetViews>
    <sheetView showGridLines="0" topLeftCell="A14" zoomScale="130" zoomScaleNormal="130" workbookViewId="0">
      <selection activeCell="F26" sqref="F26"/>
    </sheetView>
  </sheetViews>
  <sheetFormatPr defaultRowHeight="14.4" x14ac:dyDescent="0.3"/>
  <cols>
    <col min="1" max="1" width="1.88671875" customWidth="1"/>
    <col min="2" max="2" width="32.77734375" bestFit="1" customWidth="1"/>
    <col min="3" max="3" width="9.88671875" bestFit="1" customWidth="1"/>
    <col min="5" max="9" width="10.5546875" bestFit="1" customWidth="1"/>
  </cols>
  <sheetData>
    <row r="2" spans="2:8" x14ac:dyDescent="0.3">
      <c r="B2" s="103" t="s">
        <v>211</v>
      </c>
      <c r="C2" s="106">
        <f>'Intrisic Growth'!K2</f>
        <v>46082</v>
      </c>
      <c r="D2" s="107">
        <f>C2+366</f>
        <v>46448</v>
      </c>
      <c r="E2" s="107">
        <f t="shared" ref="E2:H2" si="0">D2+366</f>
        <v>46814</v>
      </c>
      <c r="F2" s="107">
        <f t="shared" si="0"/>
        <v>47180</v>
      </c>
      <c r="G2" s="107">
        <f t="shared" si="0"/>
        <v>47546</v>
      </c>
      <c r="H2" s="107">
        <f t="shared" si="0"/>
        <v>47912</v>
      </c>
    </row>
    <row r="4" spans="2:8" x14ac:dyDescent="0.3">
      <c r="B4" t="s">
        <v>173</v>
      </c>
      <c r="C4" s="115">
        <f>'Data Sheet'!K34-'Data Sheet'!K26</f>
        <v>6129.51</v>
      </c>
      <c r="D4" s="116">
        <f>C4*(1+$C$13)</f>
        <v>7572.6715433513191</v>
      </c>
      <c r="E4" s="116">
        <f t="shared" ref="E4:H4" si="1">D4*(1+$C$13)</f>
        <v>9355.6180352887659</v>
      </c>
      <c r="F4" s="116">
        <f t="shared" si="1"/>
        <v>11558.350091001665</v>
      </c>
      <c r="G4" s="116">
        <f t="shared" si="1"/>
        <v>14279.704058272266</v>
      </c>
      <c r="H4" s="116">
        <f t="shared" si="1"/>
        <v>17641.786793651812</v>
      </c>
    </row>
    <row r="5" spans="2:8" x14ac:dyDescent="0.3">
      <c r="B5" t="s">
        <v>25</v>
      </c>
      <c r="C5" s="88">
        <v>0.25</v>
      </c>
      <c r="D5" s="21">
        <f>C5</f>
        <v>0.25</v>
      </c>
      <c r="E5" s="21">
        <f t="shared" ref="E5:H5" si="2">D5</f>
        <v>0.25</v>
      </c>
      <c r="F5" s="21">
        <f t="shared" si="2"/>
        <v>0.25</v>
      </c>
      <c r="G5" s="21">
        <f t="shared" si="2"/>
        <v>0.25</v>
      </c>
      <c r="H5" s="21">
        <f t="shared" si="2"/>
        <v>0.25</v>
      </c>
    </row>
    <row r="6" spans="2:8" x14ac:dyDescent="0.3">
      <c r="B6" t="s">
        <v>212</v>
      </c>
      <c r="C6" s="87">
        <f>C4*(1-C5)</f>
        <v>4597.1324999999997</v>
      </c>
      <c r="D6" s="83">
        <f t="shared" ref="D6:H6" si="3">D4*(1-D5)</f>
        <v>5679.5036575134891</v>
      </c>
      <c r="E6" s="83">
        <f t="shared" si="3"/>
        <v>7016.713526466574</v>
      </c>
      <c r="F6" s="83">
        <f t="shared" si="3"/>
        <v>8668.762568251248</v>
      </c>
      <c r="G6" s="83">
        <f t="shared" si="3"/>
        <v>10709.778043704198</v>
      </c>
      <c r="H6" s="83">
        <f t="shared" si="3"/>
        <v>13231.340095238858</v>
      </c>
    </row>
    <row r="7" spans="2:8" x14ac:dyDescent="0.3">
      <c r="B7" t="s">
        <v>213</v>
      </c>
      <c r="C7" s="117">
        <f>'Intrisic Growth'!K52</f>
        <v>0.45540423745321607</v>
      </c>
      <c r="D7" s="118">
        <f>C7</f>
        <v>0.45540423745321607</v>
      </c>
      <c r="E7" s="118">
        <f t="shared" ref="E7:H7" si="4">D7</f>
        <v>0.45540423745321607</v>
      </c>
      <c r="F7" s="118">
        <f t="shared" si="4"/>
        <v>0.45540423745321607</v>
      </c>
      <c r="G7" s="118">
        <f t="shared" si="4"/>
        <v>0.45540423745321607</v>
      </c>
      <c r="H7" s="118">
        <f t="shared" si="4"/>
        <v>0.45540423745321607</v>
      </c>
    </row>
    <row r="8" spans="2:8" ht="15" thickBot="1" x14ac:dyDescent="0.35">
      <c r="B8" s="71" t="s">
        <v>214</v>
      </c>
      <c r="C8" s="89">
        <f>C6*(1-C7)</f>
        <v>2503.5788793661027</v>
      </c>
      <c r="D8" s="84">
        <f t="shared" ref="D8:H8" si="5">D6*(1-D7)</f>
        <v>3093.0336252508068</v>
      </c>
      <c r="E8" s="84">
        <f t="shared" si="5"/>
        <v>3821.272453518397</v>
      </c>
      <c r="F8" s="84">
        <f t="shared" si="5"/>
        <v>4720.971361193805</v>
      </c>
      <c r="G8" s="84">
        <f t="shared" si="5"/>
        <v>5832.4997404178912</v>
      </c>
      <c r="H8" s="84">
        <f t="shared" si="5"/>
        <v>7205.7317486824422</v>
      </c>
    </row>
    <row r="9" spans="2:8" x14ac:dyDescent="0.3">
      <c r="B9" t="s">
        <v>215</v>
      </c>
      <c r="C9" s="119"/>
      <c r="D9" s="5">
        <v>0.5</v>
      </c>
      <c r="E9" s="5">
        <f>D9+1</f>
        <v>1.5</v>
      </c>
      <c r="F9" s="5">
        <f t="shared" ref="F9:H9" si="6">E9+1</f>
        <v>2.5</v>
      </c>
      <c r="G9" s="5">
        <f t="shared" si="6"/>
        <v>3.5</v>
      </c>
      <c r="H9" s="5">
        <f t="shared" si="6"/>
        <v>4.5</v>
      </c>
    </row>
    <row r="10" spans="2:8" x14ac:dyDescent="0.3">
      <c r="B10" t="s">
        <v>216</v>
      </c>
      <c r="C10" s="90"/>
      <c r="D10" s="85">
        <f>1/(1+$C$15)^D9</f>
        <v>0.92571470577315151</v>
      </c>
      <c r="E10" s="85">
        <f t="shared" ref="E10:H10" si="7">1/(1+$C$15)^E9</f>
        <v>0.79328910322858248</v>
      </c>
      <c r="F10" s="85">
        <f t="shared" si="7"/>
        <v>0.67980728552390735</v>
      </c>
      <c r="G10" s="85">
        <f t="shared" si="7"/>
        <v>0.58255930097935604</v>
      </c>
      <c r="H10" s="85">
        <f t="shared" si="7"/>
        <v>0.49922286269116622</v>
      </c>
    </row>
    <row r="11" spans="2:8" ht="15" thickBot="1" x14ac:dyDescent="0.35">
      <c r="B11" s="71" t="s">
        <v>217</v>
      </c>
      <c r="C11" s="91"/>
      <c r="D11" s="84">
        <f>D8*D10</f>
        <v>2863.2667123455149</v>
      </c>
      <c r="E11" s="84">
        <f t="shared" ref="E11:H11" si="8">E8*E10</f>
        <v>3031.3737978436943</v>
      </c>
      <c r="F11" s="84">
        <f t="shared" si="8"/>
        <v>3209.3507260892666</v>
      </c>
      <c r="G11" s="84">
        <f t="shared" si="8"/>
        <v>3397.7769717401225</v>
      </c>
      <c r="H11" s="84">
        <f t="shared" si="8"/>
        <v>3597.2660313618721</v>
      </c>
    </row>
    <row r="13" spans="2:8" x14ac:dyDescent="0.3">
      <c r="B13" s="1" t="s">
        <v>218</v>
      </c>
      <c r="C13" s="120">
        <f>'Intrisic Growth'!K62</f>
        <v>0.23544484687215114</v>
      </c>
      <c r="G13" t="s">
        <v>30</v>
      </c>
    </row>
    <row r="14" spans="2:8" x14ac:dyDescent="0.3">
      <c r="B14" s="1" t="s">
        <v>219</v>
      </c>
      <c r="C14" s="21">
        <v>5.3800000000000001E-2</v>
      </c>
      <c r="D14" t="s">
        <v>220</v>
      </c>
    </row>
    <row r="15" spans="2:8" x14ac:dyDescent="0.3">
      <c r="B15" s="1" t="s">
        <v>45</v>
      </c>
      <c r="C15" s="120">
        <f>WACC!J33</f>
        <v>0.16693233526795484</v>
      </c>
    </row>
    <row r="17" spans="2:10" x14ac:dyDescent="0.3">
      <c r="B17" s="103" t="s">
        <v>221</v>
      </c>
      <c r="C17" s="108"/>
      <c r="E17" s="132" t="s">
        <v>249</v>
      </c>
      <c r="F17" s="133"/>
      <c r="G17" s="132"/>
      <c r="H17" s="133"/>
      <c r="I17" s="132"/>
      <c r="J17" s="133"/>
    </row>
    <row r="18" spans="2:10" x14ac:dyDescent="0.3">
      <c r="E18" s="130">
        <f>C35</f>
        <v>432.42027916878078</v>
      </c>
      <c r="F18" s="131">
        <f>G18-2%</f>
        <v>0.12690000000000001</v>
      </c>
      <c r="G18" s="131">
        <f>H18-2%</f>
        <v>0.1469</v>
      </c>
      <c r="H18" s="131">
        <v>0.16689999999999999</v>
      </c>
      <c r="I18" s="131">
        <f>H18+2%</f>
        <v>0.18689999999999998</v>
      </c>
      <c r="J18" s="131">
        <f>I18+2%</f>
        <v>0.20689999999999997</v>
      </c>
    </row>
    <row r="19" spans="2:10" x14ac:dyDescent="0.3">
      <c r="B19" t="s">
        <v>222</v>
      </c>
      <c r="C19" s="83">
        <f>H8*(1+C13)</f>
        <v>8902.2841568527765</v>
      </c>
      <c r="E19" s="131">
        <f>E20-2%</f>
        <v>1.3799999999999996E-2</v>
      </c>
      <c r="F19" s="4">
        <f t="dataTable" ref="F19:J23" dt2D="1" dtr="1" r1="C20" r2="C21"/>
        <v>432.53685155578893</v>
      </c>
      <c r="G19" s="4">
        <v>371.25132563723247</v>
      </c>
      <c r="H19" s="4">
        <v>325.97769414547059</v>
      </c>
      <c r="I19" s="4">
        <v>291.16590701922274</v>
      </c>
      <c r="J19" s="4">
        <v>263.56526171094436</v>
      </c>
    </row>
    <row r="20" spans="2:10" x14ac:dyDescent="0.3">
      <c r="B20" t="s">
        <v>45</v>
      </c>
      <c r="C20" s="8">
        <f>C15</f>
        <v>0.16693233526795484</v>
      </c>
      <c r="E20" s="131">
        <f>E21-2%</f>
        <v>3.3799999999999997E-2</v>
      </c>
      <c r="F20" s="4">
        <v>520.15343050057822</v>
      </c>
      <c r="G20" s="135">
        <v>432.53685155578904</v>
      </c>
      <c r="H20" s="135">
        <v>371.25132563723247</v>
      </c>
      <c r="I20" s="135">
        <v>325.97769414547059</v>
      </c>
      <c r="J20" s="4">
        <v>291.16590701922274</v>
      </c>
    </row>
    <row r="21" spans="2:10" x14ac:dyDescent="0.3">
      <c r="B21" t="s">
        <v>223</v>
      </c>
      <c r="C21" s="8">
        <f>C14</f>
        <v>5.3800000000000001E-2</v>
      </c>
      <c r="E21" s="131">
        <v>5.3800000000000001E-2</v>
      </c>
      <c r="F21" s="4">
        <v>655.71341789668861</v>
      </c>
      <c r="G21" s="135">
        <v>520.15343050057834</v>
      </c>
      <c r="H21" s="134">
        <v>432.5368515557891</v>
      </c>
      <c r="I21" s="135">
        <v>371.25132563723247</v>
      </c>
      <c r="J21" s="4">
        <v>325.97769414547059</v>
      </c>
    </row>
    <row r="22" spans="2:10" ht="15" thickBot="1" x14ac:dyDescent="0.35">
      <c r="B22" s="71" t="s">
        <v>224</v>
      </c>
      <c r="C22" s="71">
        <f>C19/(C20-C21)</f>
        <v>78689.122219281038</v>
      </c>
      <c r="E22" s="131">
        <f>E21+2%</f>
        <v>7.3800000000000004E-2</v>
      </c>
      <c r="F22" s="4">
        <v>893.39015662696863</v>
      </c>
      <c r="G22" s="135">
        <v>655.71341789668872</v>
      </c>
      <c r="H22" s="135">
        <v>520.15343050057845</v>
      </c>
      <c r="I22" s="135">
        <v>432.5368515557891</v>
      </c>
      <c r="J22" s="4">
        <v>371.25132563723258</v>
      </c>
    </row>
    <row r="23" spans="2:10" x14ac:dyDescent="0.3">
      <c r="E23" s="131">
        <f>E22+2%</f>
        <v>9.3800000000000008E-2</v>
      </c>
      <c r="F23" s="4">
        <v>1418.289540348524</v>
      </c>
      <c r="G23" s="4">
        <v>893.39015662696897</v>
      </c>
      <c r="H23" s="4">
        <v>655.71341789668884</v>
      </c>
      <c r="I23" s="4">
        <v>520.15343050057845</v>
      </c>
      <c r="J23" s="4">
        <v>432.53685155578916</v>
      </c>
    </row>
    <row r="24" spans="2:10" x14ac:dyDescent="0.3">
      <c r="B24" s="103" t="s">
        <v>225</v>
      </c>
      <c r="C24" s="108"/>
    </row>
    <row r="26" spans="2:10" x14ac:dyDescent="0.3">
      <c r="B26" t="s">
        <v>217</v>
      </c>
      <c r="C26" s="83">
        <f>H11</f>
        <v>3597.2660313618721</v>
      </c>
    </row>
    <row r="27" spans="2:10" x14ac:dyDescent="0.3">
      <c r="B27" t="s">
        <v>226</v>
      </c>
      <c r="C27">
        <f>C22*H10</f>
        <v>39283.408856964532</v>
      </c>
    </row>
    <row r="28" spans="2:10" x14ac:dyDescent="0.3">
      <c r="B28" s="1" t="s">
        <v>227</v>
      </c>
      <c r="C28" s="100">
        <f>SUM(C26:C27)</f>
        <v>42880.674888326401</v>
      </c>
    </row>
    <row r="30" spans="2:10" x14ac:dyDescent="0.3">
      <c r="B30" t="s">
        <v>228</v>
      </c>
      <c r="C30" s="96">
        <f>'Data Sheet'!K69</f>
        <v>1073.68</v>
      </c>
    </row>
    <row r="31" spans="2:10" x14ac:dyDescent="0.3">
      <c r="B31" t="s">
        <v>229</v>
      </c>
      <c r="C31" s="96">
        <f>SUM('Raw FS'!N7:N8)</f>
        <v>2293</v>
      </c>
    </row>
    <row r="32" spans="2:10" x14ac:dyDescent="0.3">
      <c r="B32" s="1" t="s">
        <v>230</v>
      </c>
      <c r="C32" s="100">
        <f>C28+C30-C31</f>
        <v>41661.354888326401</v>
      </c>
    </row>
    <row r="33" spans="2:3" x14ac:dyDescent="0.3">
      <c r="B33" t="s">
        <v>231</v>
      </c>
      <c r="C33" s="116">
        <f>'Data Sheet'!B6</f>
        <v>96.344590888313277</v>
      </c>
    </row>
    <row r="35" spans="2:3" x14ac:dyDescent="0.3">
      <c r="B35" s="1" t="s">
        <v>232</v>
      </c>
      <c r="C35" s="100">
        <f>C32/C33</f>
        <v>432.42027916878078</v>
      </c>
    </row>
    <row r="36" spans="2:3" x14ac:dyDescent="0.3">
      <c r="B36" t="s">
        <v>233</v>
      </c>
      <c r="C36">
        <v>2839</v>
      </c>
    </row>
    <row r="37" spans="2:3" x14ac:dyDescent="0.3">
      <c r="B37" t="s">
        <v>234</v>
      </c>
      <c r="C37" s="86">
        <f>C36/C35</f>
        <v>6.565372015987001</v>
      </c>
    </row>
  </sheetData>
  <pageMargins left="0.7" right="0.7" top="0.75" bottom="0.75" header="0.3" footer="0.3"/>
  <ignoredErrors>
    <ignoredError sqref="D6:H6 C7:H7" formula="1"/>
    <ignoredError sqref="C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B7B-C668-4751-B269-60A6246385E1}">
  <sheetPr>
    <pageSetUpPr fitToPage="1"/>
  </sheetPr>
  <dimension ref="B2:J33"/>
  <sheetViews>
    <sheetView showGridLines="0" topLeftCell="A14" zoomScale="85" zoomScaleNormal="85" workbookViewId="0">
      <selection activeCell="L31" sqref="L31"/>
    </sheetView>
  </sheetViews>
  <sheetFormatPr defaultRowHeight="14.4" x14ac:dyDescent="0.3"/>
  <cols>
    <col min="1" max="1" width="1.88671875" customWidth="1"/>
    <col min="2" max="2" width="19.88671875" customWidth="1"/>
    <col min="3" max="3" width="10.33203125" bestFit="1" customWidth="1"/>
    <col min="4" max="4" width="10.109375" bestFit="1" customWidth="1"/>
    <col min="5" max="5" width="11.44140625" bestFit="1" customWidth="1"/>
    <col min="6" max="6" width="10.88671875" customWidth="1"/>
    <col min="7" max="9" width="9.33203125" customWidth="1"/>
    <col min="10" max="10" width="10.33203125" bestFit="1" customWidth="1"/>
    <col min="14" max="14" width="16.5546875" bestFit="1" customWidth="1"/>
    <col min="15" max="15" width="9.88671875" bestFit="1" customWidth="1"/>
    <col min="16" max="16" width="6.5546875" bestFit="1" customWidth="1"/>
  </cols>
  <sheetData>
    <row r="2" spans="2:10" ht="18" x14ac:dyDescent="0.35">
      <c r="B2" s="138" t="s">
        <v>0</v>
      </c>
      <c r="C2" s="138"/>
      <c r="D2" s="138"/>
      <c r="E2" s="138"/>
      <c r="F2" s="138"/>
      <c r="G2" s="138"/>
      <c r="H2" s="138"/>
      <c r="I2" s="138"/>
      <c r="J2" s="138"/>
    </row>
    <row r="3" spans="2:10" ht="18" x14ac:dyDescent="0.35">
      <c r="B3" s="93"/>
      <c r="C3" s="94"/>
      <c r="D3" s="94"/>
      <c r="E3" s="94"/>
      <c r="F3" s="95"/>
      <c r="G3" s="95"/>
      <c r="H3" s="95"/>
      <c r="I3" s="95"/>
      <c r="J3" s="95"/>
    </row>
    <row r="4" spans="2:10" ht="18" x14ac:dyDescent="0.35">
      <c r="B4" s="137" t="s">
        <v>246</v>
      </c>
      <c r="C4" s="137"/>
      <c r="D4" s="137"/>
      <c r="E4" s="137"/>
      <c r="F4" s="137"/>
      <c r="G4" s="137"/>
      <c r="H4" s="137"/>
      <c r="I4" s="137"/>
      <c r="J4" s="137"/>
    </row>
    <row r="5" spans="2:10" ht="13.5" customHeight="1" x14ac:dyDescent="0.3">
      <c r="B5" s="124"/>
      <c r="C5" s="124"/>
      <c r="D5" s="124"/>
      <c r="E5" s="124"/>
      <c r="F5" s="125"/>
      <c r="G5" s="125" t="s">
        <v>6</v>
      </c>
      <c r="H5" s="125" t="s">
        <v>6</v>
      </c>
      <c r="I5" s="125" t="s">
        <v>8</v>
      </c>
      <c r="J5" s="125" t="s">
        <v>9</v>
      </c>
    </row>
    <row r="6" spans="2:10" ht="18.75" customHeight="1" x14ac:dyDescent="0.3">
      <c r="B6" s="126" t="s">
        <v>1</v>
      </c>
      <c r="C6" s="126" t="s">
        <v>2</v>
      </c>
      <c r="D6" s="127" t="s">
        <v>3</v>
      </c>
      <c r="E6" s="127" t="s">
        <v>4</v>
      </c>
      <c r="F6" s="127" t="s">
        <v>241</v>
      </c>
      <c r="G6" s="127" t="s">
        <v>7</v>
      </c>
      <c r="H6" s="127" t="s">
        <v>11</v>
      </c>
      <c r="I6" s="127" t="s">
        <v>242</v>
      </c>
      <c r="J6" s="127" t="s">
        <v>242</v>
      </c>
    </row>
    <row r="7" spans="2:10" x14ac:dyDescent="0.3">
      <c r="B7" s="96" t="str">
        <f>'Raw Beta Peers'!C4</f>
        <v>Asian Paints</v>
      </c>
      <c r="C7" s="5" t="s">
        <v>10</v>
      </c>
      <c r="D7" s="92">
        <f>'Raw Beta Peers'!F4</f>
        <v>3928.93</v>
      </c>
      <c r="E7" s="92">
        <f>'Raw Beta Peers'!E4</f>
        <v>252024.35</v>
      </c>
      <c r="F7" s="7">
        <v>0.3</v>
      </c>
      <c r="G7" s="15">
        <f>D7/E7</f>
        <v>1.5589485698504926E-2</v>
      </c>
      <c r="H7" s="15">
        <f>D7/(D7+E7)</f>
        <v>1.5350184221120354E-2</v>
      </c>
      <c r="I7" s="97">
        <f>'Raw Beta Peers'!H4</f>
        <v>0.86699999999999999</v>
      </c>
      <c r="J7" s="4">
        <f>I7/(1+(1-F7)*G7)</f>
        <v>0.85764087390328203</v>
      </c>
    </row>
    <row r="8" spans="2:10" x14ac:dyDescent="0.3">
      <c r="B8" s="96" t="str">
        <f>'Raw Beta Peers'!C5</f>
        <v>Berger Paints</v>
      </c>
      <c r="C8" s="5" t="s">
        <v>10</v>
      </c>
      <c r="D8" s="92">
        <f>'Raw Beta Peers'!F5</f>
        <v>635.13</v>
      </c>
      <c r="E8" s="92">
        <f>'Raw Beta Peers'!E5</f>
        <v>60288.18</v>
      </c>
      <c r="F8" s="7">
        <v>0.3</v>
      </c>
      <c r="G8" s="15">
        <f t="shared" ref="G8:G11" si="0">D8/E8</f>
        <v>1.053490087111603E-2</v>
      </c>
      <c r="H8" s="15">
        <f t="shared" ref="H8:H11" si="1">D8/(D8+E8)</f>
        <v>1.042507375255875E-2</v>
      </c>
      <c r="I8" s="97">
        <f>'Raw Beta Peers'!H5</f>
        <v>0.85499999999999998</v>
      </c>
      <c r="J8" s="4">
        <f t="shared" ref="J8:J11" si="2">I8/(1+(1-F8)*G8)</f>
        <v>0.84874101825520198</v>
      </c>
    </row>
    <row r="9" spans="2:10" x14ac:dyDescent="0.3">
      <c r="B9" s="96" t="str">
        <f>'Raw Beta Peers'!C6</f>
        <v>Kansai Nerolac</v>
      </c>
      <c r="C9" s="5" t="s">
        <v>10</v>
      </c>
      <c r="D9" s="92">
        <f>'Raw Beta Peers'!F6</f>
        <v>302.73</v>
      </c>
      <c r="E9" s="92">
        <f>'Raw Beta Peers'!E6</f>
        <v>16329.27</v>
      </c>
      <c r="F9" s="7">
        <v>0.3</v>
      </c>
      <c r="G9" s="15">
        <f t="shared" si="0"/>
        <v>1.8539101870444913E-2</v>
      </c>
      <c r="H9" s="15">
        <f t="shared" si="1"/>
        <v>1.8201659451659451E-2</v>
      </c>
      <c r="I9" s="97">
        <f>'Raw Beta Peers'!H6</f>
        <v>0.90800000000000003</v>
      </c>
      <c r="J9" s="4">
        <f t="shared" si="2"/>
        <v>0.89636750604445947</v>
      </c>
    </row>
    <row r="10" spans="2:10" x14ac:dyDescent="0.3">
      <c r="B10" s="96" t="str">
        <f>'Raw Beta Peers'!C7</f>
        <v>JSW Dulux</v>
      </c>
      <c r="C10" s="5" t="s">
        <v>10</v>
      </c>
      <c r="D10" s="92">
        <f>'Raw Beta Peers'!F7</f>
        <v>79.099999999999994</v>
      </c>
      <c r="E10" s="92">
        <f>'Raw Beta Peers'!E7</f>
        <v>14276.65</v>
      </c>
      <c r="F10" s="7">
        <v>0.3</v>
      </c>
      <c r="G10" s="15">
        <f t="shared" si="0"/>
        <v>5.5405154570575032E-3</v>
      </c>
      <c r="H10" s="15">
        <f t="shared" si="1"/>
        <v>5.5099872873238939E-3</v>
      </c>
      <c r="I10" s="97">
        <f>'Raw Beta Peers'!H7</f>
        <v>0.44900000000000001</v>
      </c>
      <c r="J10" s="4">
        <f t="shared" si="2"/>
        <v>0.4472653436152057</v>
      </c>
    </row>
    <row r="11" spans="2:10" x14ac:dyDescent="0.3">
      <c r="B11" s="96" t="str">
        <f>'Raw Beta Peers'!C8</f>
        <v>Indigo Paints</v>
      </c>
      <c r="C11" s="5" t="s">
        <v>10</v>
      </c>
      <c r="D11" s="92">
        <f>'Raw Beta Peers'!F8</f>
        <v>18.37</v>
      </c>
      <c r="E11" s="92">
        <f>'Raw Beta Peers'!E8</f>
        <v>5458.72</v>
      </c>
      <c r="F11" s="7">
        <v>0.3</v>
      </c>
      <c r="G11" s="15">
        <f t="shared" si="0"/>
        <v>3.3652577893718673E-3</v>
      </c>
      <c r="H11" s="15">
        <f t="shared" si="1"/>
        <v>3.3539708129682005E-3</v>
      </c>
      <c r="I11" s="97">
        <f>'Raw Beta Peers'!H8</f>
        <v>1.1200000000000001</v>
      </c>
      <c r="J11" s="4">
        <f t="shared" si="2"/>
        <v>1.1173678384247034</v>
      </c>
    </row>
    <row r="12" spans="2:10" x14ac:dyDescent="0.3">
      <c r="F12" s="8"/>
    </row>
    <row r="13" spans="2:10" x14ac:dyDescent="0.3">
      <c r="E13" s="9" t="s">
        <v>5</v>
      </c>
      <c r="F13" s="10">
        <f>AVERAGE(F7:F11)</f>
        <v>0.3</v>
      </c>
      <c r="G13" s="10">
        <f t="shared" ref="G13:J13" si="3">AVERAGE(G7:G11)</f>
        <v>1.0713852337299049E-2</v>
      </c>
      <c r="H13" s="10">
        <f t="shared" si="3"/>
        <v>1.0568175105126131E-2</v>
      </c>
      <c r="I13" s="11">
        <f t="shared" si="3"/>
        <v>0.83979999999999999</v>
      </c>
      <c r="J13" s="11">
        <f t="shared" si="3"/>
        <v>0.83347651604857054</v>
      </c>
    </row>
    <row r="14" spans="2:10" x14ac:dyDescent="0.3">
      <c r="E14" s="12" t="s">
        <v>12</v>
      </c>
      <c r="F14" s="13">
        <f>MEDIAN(F7:F11)</f>
        <v>0.3</v>
      </c>
      <c r="G14" s="13">
        <f t="shared" ref="G14:J14" si="4">MEDIAN(G7:G11)</f>
        <v>1.053490087111603E-2</v>
      </c>
      <c r="H14" s="13">
        <f t="shared" si="4"/>
        <v>1.042507375255875E-2</v>
      </c>
      <c r="I14" s="14">
        <f t="shared" si="4"/>
        <v>0.86699999999999999</v>
      </c>
      <c r="J14" s="14">
        <f t="shared" si="4"/>
        <v>0.85764087390328203</v>
      </c>
    </row>
    <row r="15" spans="2:10" x14ac:dyDescent="0.3">
      <c r="G15" s="4"/>
    </row>
    <row r="16" spans="2:10" x14ac:dyDescent="0.3">
      <c r="B16" s="12" t="s">
        <v>23</v>
      </c>
      <c r="C16" s="99"/>
      <c r="D16" s="99"/>
      <c r="E16" s="99"/>
      <c r="G16" s="12" t="s">
        <v>18</v>
      </c>
      <c r="H16" s="99"/>
      <c r="I16" s="99"/>
      <c r="J16" s="99"/>
    </row>
    <row r="17" spans="2:10" x14ac:dyDescent="0.3">
      <c r="B17" t="s">
        <v>24</v>
      </c>
      <c r="E17" s="26">
        <f>69/710</f>
        <v>9.7183098591549291E-2</v>
      </c>
      <c r="G17" t="s">
        <v>19</v>
      </c>
      <c r="J17" s="30">
        <v>6.8500000000000005E-2</v>
      </c>
    </row>
    <row r="18" spans="2:10" x14ac:dyDescent="0.3">
      <c r="B18" t="s">
        <v>25</v>
      </c>
      <c r="E18" s="8">
        <f>F14</f>
        <v>0.3</v>
      </c>
      <c r="G18" t="s">
        <v>20</v>
      </c>
      <c r="J18" s="27">
        <f>Rm!G7-WACC!J17</f>
        <v>9.599230769230771E-2</v>
      </c>
    </row>
    <row r="19" spans="2:10" ht="15.75" customHeight="1" x14ac:dyDescent="0.3">
      <c r="B19" s="17" t="s">
        <v>26</v>
      </c>
      <c r="C19" s="17"/>
      <c r="D19" s="17"/>
      <c r="E19" s="20">
        <f>E17*(1-E18)</f>
        <v>6.8028169014084497E-2</v>
      </c>
      <c r="G19" t="s">
        <v>27</v>
      </c>
      <c r="J19" s="98">
        <f>J26</f>
        <v>1.0970465082228078</v>
      </c>
    </row>
    <row r="20" spans="2:10" x14ac:dyDescent="0.3">
      <c r="G20" s="17" t="s">
        <v>18</v>
      </c>
      <c r="H20" s="17"/>
      <c r="I20" s="17"/>
      <c r="J20" s="31">
        <f>J17+(J18*J19)</f>
        <v>0.17380802597009554</v>
      </c>
    </row>
    <row r="21" spans="2:10" ht="13.8" customHeight="1" x14ac:dyDescent="0.3"/>
    <row r="22" spans="2:10" x14ac:dyDescent="0.3">
      <c r="B22" s="12" t="s">
        <v>13</v>
      </c>
      <c r="C22" s="99"/>
      <c r="D22" s="99"/>
      <c r="E22" s="99"/>
      <c r="G22" s="12" t="s">
        <v>27</v>
      </c>
      <c r="H22" s="99"/>
      <c r="I22" s="99"/>
      <c r="J22" s="99"/>
    </row>
    <row r="23" spans="2:10" x14ac:dyDescent="0.3">
      <c r="D23" s="16" t="s">
        <v>16</v>
      </c>
      <c r="E23" s="16" t="s">
        <v>17</v>
      </c>
      <c r="G23" s="4" t="s">
        <v>28</v>
      </c>
      <c r="J23" s="4">
        <f>J14</f>
        <v>0.85764087390328203</v>
      </c>
    </row>
    <row r="24" spans="2:10" x14ac:dyDescent="0.3">
      <c r="B24" t="s">
        <v>3</v>
      </c>
      <c r="C24" s="25">
        <f>D7</f>
        <v>3928.93</v>
      </c>
      <c r="D24" s="6">
        <f>C24/$C$26</f>
        <v>1.5350184221120354E-2</v>
      </c>
      <c r="E24" s="21">
        <v>6.5000000000000002E-2</v>
      </c>
      <c r="G24" t="s">
        <v>29</v>
      </c>
      <c r="J24" s="22">
        <f>E28</f>
        <v>6.9518716577540107E-2</v>
      </c>
    </row>
    <row r="25" spans="2:10" x14ac:dyDescent="0.3">
      <c r="B25" t="s">
        <v>14</v>
      </c>
      <c r="C25" s="25">
        <f>E7</f>
        <v>252024.35</v>
      </c>
      <c r="D25" s="6">
        <f>C25/$C$26</f>
        <v>0.98464981577887967</v>
      </c>
      <c r="E25" s="8">
        <f>E26-E24</f>
        <v>0.93500000000000005</v>
      </c>
      <c r="G25" t="s">
        <v>25</v>
      </c>
      <c r="J25" s="8">
        <f>E18</f>
        <v>0.3</v>
      </c>
    </row>
    <row r="26" spans="2:10" x14ac:dyDescent="0.3">
      <c r="B26" t="s">
        <v>15</v>
      </c>
      <c r="C26" s="17">
        <f>SUM(C24:C25)</f>
        <v>255953.28</v>
      </c>
      <c r="D26" s="18">
        <f>C26/$C$26</f>
        <v>1</v>
      </c>
      <c r="E26" s="19">
        <f>D26</f>
        <v>1</v>
      </c>
      <c r="G26" s="17" t="s">
        <v>21</v>
      </c>
      <c r="H26" s="17"/>
      <c r="I26" s="17"/>
      <c r="J26" s="23">
        <f>J23*(1+(1-J24)*J25)</f>
        <v>1.0970465082228078</v>
      </c>
    </row>
    <row r="28" spans="2:10" x14ac:dyDescent="0.3">
      <c r="B28" s="1" t="s">
        <v>22</v>
      </c>
      <c r="C28" s="1"/>
      <c r="D28" s="29">
        <f>D24/D25</f>
        <v>1.5589485698504926E-2</v>
      </c>
      <c r="E28" s="29">
        <f>E24/E25</f>
        <v>6.9518716577540107E-2</v>
      </c>
      <c r="G28" s="12" t="s">
        <v>0</v>
      </c>
      <c r="H28" s="99"/>
      <c r="I28" s="99"/>
      <c r="J28" s="99"/>
    </row>
    <row r="29" spans="2:10" x14ac:dyDescent="0.3">
      <c r="B29" s="24"/>
      <c r="G29" t="s">
        <v>18</v>
      </c>
      <c r="J29" s="32">
        <f>J20</f>
        <v>0.17380802597009554</v>
      </c>
    </row>
    <row r="30" spans="2:10" x14ac:dyDescent="0.3">
      <c r="B30" s="24"/>
      <c r="G30" t="s">
        <v>43</v>
      </c>
      <c r="J30" s="8">
        <f>E25</f>
        <v>0.93500000000000005</v>
      </c>
    </row>
    <row r="31" spans="2:10" x14ac:dyDescent="0.3">
      <c r="B31" s="24"/>
      <c r="G31" t="s">
        <v>23</v>
      </c>
      <c r="J31" s="8">
        <f>E19</f>
        <v>6.8028169014084497E-2</v>
      </c>
    </row>
    <row r="32" spans="2:10" x14ac:dyDescent="0.3">
      <c r="G32" t="s">
        <v>44</v>
      </c>
      <c r="J32" s="8">
        <f>E24</f>
        <v>6.5000000000000002E-2</v>
      </c>
    </row>
    <row r="33" spans="7:10" x14ac:dyDescent="0.3">
      <c r="G33" s="128" t="s">
        <v>45</v>
      </c>
      <c r="H33" s="128"/>
      <c r="I33" s="128"/>
      <c r="J33" s="129">
        <f>(J29*J30)+(J31*J32)</f>
        <v>0.16693233526795484</v>
      </c>
    </row>
  </sheetData>
  <mergeCells count="2">
    <mergeCell ref="B4:J4"/>
    <mergeCell ref="B2:J2"/>
  </mergeCells>
  <pageMargins left="0.7" right="0.7" top="0.75" bottom="0.75" header="0.3" footer="0.3"/>
  <pageSetup scale="87" orientation="portrait" r:id="rId1"/>
  <customProperties>
    <customPr name="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4559-1980-4DE8-B7BA-36E443FC802F}">
  <dimension ref="B2:V30"/>
  <sheetViews>
    <sheetView showGridLines="0" topLeftCell="A13" zoomScale="160" zoomScaleNormal="160" workbookViewId="0">
      <selection activeCell="D4" sqref="D4"/>
    </sheetView>
  </sheetViews>
  <sheetFormatPr defaultRowHeight="14.4" x14ac:dyDescent="0.3"/>
  <cols>
    <col min="1" max="1" width="1.88671875" customWidth="1"/>
  </cols>
  <sheetData>
    <row r="2" spans="2:22" x14ac:dyDescent="0.3">
      <c r="B2" s="139" t="s">
        <v>39</v>
      </c>
      <c r="C2" s="139"/>
      <c r="D2" s="139"/>
      <c r="E2" s="139"/>
      <c r="F2" s="139"/>
      <c r="G2" s="139"/>
    </row>
    <row r="3" spans="2:22" x14ac:dyDescent="0.3">
      <c r="F3" s="49" t="s">
        <v>243</v>
      </c>
      <c r="G3" s="49"/>
    </row>
    <row r="4" spans="2:22" x14ac:dyDescent="0.3">
      <c r="B4" s="101" t="s">
        <v>37</v>
      </c>
      <c r="C4" s="102" t="s">
        <v>38</v>
      </c>
    </row>
    <row r="5" spans="2:22" x14ac:dyDescent="0.3">
      <c r="B5">
        <v>2000</v>
      </c>
      <c r="C5" s="6">
        <v>-0.14649999999999999</v>
      </c>
      <c r="E5" t="s">
        <v>40</v>
      </c>
      <c r="G5" s="8">
        <f>AVERAGE(C5:C30)</f>
        <v>0.1514923076923077</v>
      </c>
      <c r="K5" s="6"/>
      <c r="L5" s="8"/>
      <c r="M5" s="8"/>
      <c r="N5" s="8"/>
      <c r="O5" s="8"/>
      <c r="P5" s="8"/>
      <c r="Q5" s="8"/>
    </row>
    <row r="6" spans="2:22" x14ac:dyDescent="0.3">
      <c r="B6">
        <v>2001</v>
      </c>
      <c r="C6" s="6">
        <v>-0.1618</v>
      </c>
      <c r="E6" t="s">
        <v>41</v>
      </c>
      <c r="G6" s="27">
        <v>1.2999999999999999E-2</v>
      </c>
      <c r="K6" s="6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2:22" x14ac:dyDescent="0.3">
      <c r="B7">
        <v>2002</v>
      </c>
      <c r="C7" s="6">
        <v>3.2500000000000001E-2</v>
      </c>
      <c r="E7" s="28" t="s">
        <v>42</v>
      </c>
      <c r="F7" s="28"/>
      <c r="G7" s="29">
        <f>SUM(G5:G6)</f>
        <v>0.16449230769230772</v>
      </c>
      <c r="K7" s="6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2:22" x14ac:dyDescent="0.3">
      <c r="B8">
        <v>2003</v>
      </c>
      <c r="C8" s="6">
        <v>0.71900000000000008</v>
      </c>
      <c r="K8" s="6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2:22" x14ac:dyDescent="0.3">
      <c r="B9">
        <v>2004</v>
      </c>
      <c r="C9" s="6">
        <v>0.10679999999999999</v>
      </c>
      <c r="K9" s="6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2:22" x14ac:dyDescent="0.3">
      <c r="B10">
        <v>2005</v>
      </c>
      <c r="C10" s="6">
        <v>0.36340000000000006</v>
      </c>
      <c r="K10" s="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2:22" x14ac:dyDescent="0.3">
      <c r="B11">
        <v>2006</v>
      </c>
      <c r="C11" s="6">
        <v>0.39829999999999999</v>
      </c>
      <c r="K11" s="6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2:22" x14ac:dyDescent="0.3">
      <c r="B12">
        <v>2007</v>
      </c>
      <c r="C12" s="6">
        <v>0.54770000000000008</v>
      </c>
      <c r="K12" s="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2:22" x14ac:dyDescent="0.3">
      <c r="B13">
        <v>2008</v>
      </c>
      <c r="C13" s="6">
        <v>-0.51790000000000003</v>
      </c>
      <c r="K13" s="6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x14ac:dyDescent="0.3">
      <c r="B14">
        <v>2009</v>
      </c>
      <c r="C14" s="6">
        <v>0.75760000000000005</v>
      </c>
      <c r="K14" s="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2:22" x14ac:dyDescent="0.3">
      <c r="B15">
        <v>2010</v>
      </c>
      <c r="C15" s="6">
        <v>0.17949999999999999</v>
      </c>
      <c r="K15" s="6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2:22" x14ac:dyDescent="0.3">
      <c r="B16">
        <v>2011</v>
      </c>
      <c r="C16" s="6">
        <v>-0.2462</v>
      </c>
      <c r="K16" s="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2:22" x14ac:dyDescent="0.3">
      <c r="B17">
        <v>2012</v>
      </c>
      <c r="C17" s="6">
        <v>0.27699999999999997</v>
      </c>
      <c r="K17" s="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2:22" x14ac:dyDescent="0.3">
      <c r="B18">
        <v>2013</v>
      </c>
      <c r="C18" s="6">
        <v>6.7599999999999993E-2</v>
      </c>
      <c r="K18" s="6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2:22" x14ac:dyDescent="0.3">
      <c r="B19">
        <v>2014</v>
      </c>
      <c r="C19" s="6">
        <v>0.31390000000000001</v>
      </c>
      <c r="K19" s="6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2:22" x14ac:dyDescent="0.3">
      <c r="B20">
        <v>2015</v>
      </c>
      <c r="C20" s="6">
        <v>-4.0599999999999997E-2</v>
      </c>
      <c r="K20" s="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2:22" x14ac:dyDescent="0.3">
      <c r="B21">
        <v>2016</v>
      </c>
      <c r="C21" s="6">
        <v>3.0099999999999998E-2</v>
      </c>
      <c r="K21" s="6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2:22" x14ac:dyDescent="0.3">
      <c r="B22">
        <v>2017</v>
      </c>
      <c r="C22" s="6">
        <v>0.28649999999999998</v>
      </c>
      <c r="K22" s="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2:22" x14ac:dyDescent="0.3">
      <c r="B23">
        <v>2018</v>
      </c>
      <c r="C23" s="6">
        <v>3.15E-2</v>
      </c>
      <c r="K23" s="6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2:22" x14ac:dyDescent="0.3">
      <c r="B24">
        <v>2019</v>
      </c>
      <c r="C24" s="6">
        <v>0.1202</v>
      </c>
      <c r="K24" s="6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2:22" x14ac:dyDescent="0.3">
      <c r="B25">
        <v>2020</v>
      </c>
      <c r="C25" s="6">
        <v>0.14899999999999999</v>
      </c>
      <c r="K25" s="6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2:22" x14ac:dyDescent="0.3">
      <c r="B26">
        <v>2021</v>
      </c>
      <c r="C26" s="6">
        <v>0.2412</v>
      </c>
      <c r="K26" s="6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2:22" x14ac:dyDescent="0.3">
      <c r="B27">
        <v>2022</v>
      </c>
      <c r="C27" s="6">
        <v>4.3200000000000002E-2</v>
      </c>
      <c r="K27" s="6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2:22" x14ac:dyDescent="0.3">
      <c r="B28">
        <v>2023</v>
      </c>
      <c r="C28" s="6">
        <v>0.19420000000000001</v>
      </c>
      <c r="K28" s="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22" x14ac:dyDescent="0.3">
      <c r="B29">
        <v>2024</v>
      </c>
      <c r="C29" s="6">
        <v>8.7499999999999994E-2</v>
      </c>
      <c r="K29" s="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2:22" x14ac:dyDescent="0.3">
      <c r="B30">
        <v>2025</v>
      </c>
      <c r="C30" s="6">
        <v>0.1051</v>
      </c>
      <c r="K30" s="6"/>
    </row>
  </sheetData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036-95A2-49CD-911E-0470A328F88B}">
  <dimension ref="A2:M62"/>
  <sheetViews>
    <sheetView showGridLines="0" tabSelected="1" zoomScale="115" zoomScaleNormal="115" workbookViewId="0">
      <pane ySplit="2" topLeftCell="A3" activePane="bottomLeft" state="frozen"/>
      <selection pane="bottomLeft" activeCell="F40" sqref="F40"/>
    </sheetView>
  </sheetViews>
  <sheetFormatPr defaultRowHeight="14.4" x14ac:dyDescent="0.3"/>
  <cols>
    <col min="1" max="1" width="1.88671875" customWidth="1"/>
    <col min="7" max="7" width="11.5546875" bestFit="1" customWidth="1"/>
    <col min="8" max="8" width="8.5546875" bestFit="1" customWidth="1"/>
    <col min="9" max="9" width="12.109375" bestFit="1" customWidth="1"/>
    <col min="10" max="10" width="14.33203125" bestFit="1" customWidth="1"/>
    <col min="11" max="11" width="10.109375" bestFit="1" customWidth="1"/>
    <col min="13" max="13" width="21" bestFit="1" customWidth="1"/>
  </cols>
  <sheetData>
    <row r="2" spans="1:11" x14ac:dyDescent="0.3">
      <c r="A2" t="s">
        <v>48</v>
      </c>
      <c r="B2" s="103" t="s">
        <v>165</v>
      </c>
      <c r="C2" s="104"/>
      <c r="D2" s="104"/>
      <c r="E2" s="104"/>
      <c r="F2" s="105">
        <f>'Raw FS'!I$2</f>
        <v>44256</v>
      </c>
      <c r="G2" s="105">
        <f>'Raw FS'!J$2</f>
        <v>44621</v>
      </c>
      <c r="H2" s="105">
        <f>'Raw FS'!K$2</f>
        <v>44986</v>
      </c>
      <c r="I2" s="105">
        <f>'Raw FS'!L$2</f>
        <v>45352</v>
      </c>
      <c r="J2" s="105">
        <f>'Raw FS'!M$2</f>
        <v>45717</v>
      </c>
      <c r="K2" s="105">
        <f>'Raw FS'!N$2</f>
        <v>46082</v>
      </c>
    </row>
    <row r="3" spans="1:11" x14ac:dyDescent="0.3">
      <c r="B3" s="1" t="s">
        <v>166</v>
      </c>
    </row>
    <row r="4" spans="1:11" x14ac:dyDescent="0.3">
      <c r="B4" s="63" t="str">
        <f>'Raw FS'!B35</f>
        <v>Inventories</v>
      </c>
      <c r="C4" s="63"/>
      <c r="D4" s="63"/>
      <c r="E4" s="63"/>
      <c r="F4" s="121">
        <f>'Raw FS'!I35</f>
        <v>3799</v>
      </c>
      <c r="G4" s="121">
        <f>'Raw FS'!J35</f>
        <v>6153</v>
      </c>
      <c r="H4" s="121">
        <f>'Raw FS'!K35</f>
        <v>6211</v>
      </c>
      <c r="I4" s="121">
        <f>'Raw FS'!L35</f>
        <v>5923</v>
      </c>
      <c r="J4" s="121">
        <f>'Raw FS'!M35</f>
        <v>6719</v>
      </c>
      <c r="K4" s="121">
        <f>'Raw FS'!N35</f>
        <v>5744</v>
      </c>
    </row>
    <row r="5" spans="1:11" x14ac:dyDescent="0.3">
      <c r="B5" s="63" t="str">
        <f>'Raw FS'!B36</f>
        <v>Trade receivables +</v>
      </c>
      <c r="C5" s="63"/>
      <c r="D5" s="63"/>
      <c r="E5" s="63"/>
      <c r="F5" s="121">
        <f>'Raw FS'!I36</f>
        <v>2602</v>
      </c>
      <c r="G5" s="121">
        <f>'Raw FS'!J36</f>
        <v>3871</v>
      </c>
      <c r="H5" s="121">
        <f>'Raw FS'!K36</f>
        <v>4637</v>
      </c>
      <c r="I5" s="121">
        <f>'Raw FS'!L36</f>
        <v>4889</v>
      </c>
      <c r="J5" s="121">
        <f>'Raw FS'!M36</f>
        <v>4314</v>
      </c>
      <c r="K5" s="121">
        <f>'Raw FS'!N36</f>
        <v>4462</v>
      </c>
    </row>
    <row r="6" spans="1:11" x14ac:dyDescent="0.3">
      <c r="B6" s="63" t="str">
        <f>'Raw FS'!B38</f>
        <v>Loans n Advances</v>
      </c>
      <c r="C6" s="63"/>
      <c r="D6" s="63"/>
      <c r="E6" s="63"/>
      <c r="F6" s="121">
        <f>'Raw FS'!I38</f>
        <v>11</v>
      </c>
      <c r="G6" s="121">
        <f>'Raw FS'!J38</f>
        <v>8</v>
      </c>
      <c r="H6" s="121">
        <f>'Raw FS'!K38</f>
        <v>12</v>
      </c>
      <c r="I6" s="121">
        <f>'Raw FS'!L38</f>
        <v>17</v>
      </c>
      <c r="J6" s="121">
        <f>'Raw FS'!M38</f>
        <v>22</v>
      </c>
      <c r="K6" s="121">
        <f>'Raw FS'!N38</f>
        <v>27</v>
      </c>
    </row>
    <row r="7" spans="1:11" x14ac:dyDescent="0.3">
      <c r="B7" t="str">
        <f>'Raw FS'!B39</f>
        <v>Other asset items</v>
      </c>
      <c r="F7" s="122">
        <f>'Raw FS'!I39</f>
        <v>2555</v>
      </c>
      <c r="G7" s="122">
        <f>'Raw FS'!J39</f>
        <v>2869</v>
      </c>
      <c r="H7" s="122">
        <f>'Raw FS'!K39</f>
        <v>3024</v>
      </c>
      <c r="I7" s="122">
        <f>'Raw FS'!L39</f>
        <v>3555</v>
      </c>
      <c r="J7" s="122">
        <f>'Raw FS'!M39</f>
        <v>3319</v>
      </c>
      <c r="K7" s="122">
        <f>'Raw FS'!N39</f>
        <v>4662</v>
      </c>
    </row>
    <row r="8" spans="1:11" x14ac:dyDescent="0.3">
      <c r="B8" s="67" t="s">
        <v>91</v>
      </c>
      <c r="C8" s="2"/>
      <c r="D8" s="2"/>
      <c r="E8" s="2"/>
      <c r="F8" s="75">
        <f>SUM(F4:F7)</f>
        <v>8967</v>
      </c>
      <c r="G8" s="75">
        <f>SUM(G4:G7)</f>
        <v>12901</v>
      </c>
      <c r="H8" s="75">
        <f t="shared" ref="H8:K8" si="0">SUM(H4:H7)</f>
        <v>13884</v>
      </c>
      <c r="I8" s="75">
        <f t="shared" si="0"/>
        <v>14384</v>
      </c>
      <c r="J8" s="75">
        <f t="shared" si="0"/>
        <v>14374</v>
      </c>
      <c r="K8" s="75">
        <f t="shared" si="0"/>
        <v>14895</v>
      </c>
    </row>
    <row r="9" spans="1:11" x14ac:dyDescent="0.3">
      <c r="F9" s="65"/>
      <c r="G9" s="65"/>
      <c r="H9" s="65"/>
      <c r="I9" s="65"/>
      <c r="J9" s="65"/>
      <c r="K9" s="65"/>
    </row>
    <row r="10" spans="1:11" x14ac:dyDescent="0.3">
      <c r="B10" s="1" t="s">
        <v>167</v>
      </c>
      <c r="F10" s="65"/>
      <c r="G10" s="65"/>
      <c r="H10" s="65"/>
      <c r="I10" s="65"/>
      <c r="J10" s="65"/>
      <c r="K10" s="65"/>
    </row>
    <row r="11" spans="1:11" x14ac:dyDescent="0.3">
      <c r="B11" s="63" t="str">
        <f>'Raw FS'!B13</f>
        <v>Trade Payables</v>
      </c>
      <c r="C11" s="63"/>
      <c r="D11" s="63"/>
      <c r="E11" s="63"/>
      <c r="F11" s="121">
        <f>'Raw FS'!I13</f>
        <v>3379</v>
      </c>
      <c r="G11" s="121">
        <f>'Raw FS'!J13</f>
        <v>4164</v>
      </c>
      <c r="H11" s="121">
        <f>'Raw FS'!K13</f>
        <v>3635</v>
      </c>
      <c r="I11" s="121">
        <f>'Raw FS'!L13</f>
        <v>3831</v>
      </c>
      <c r="J11" s="121">
        <f>'Raw FS'!M13</f>
        <v>3848</v>
      </c>
      <c r="K11" s="121">
        <f>'Raw FS'!N13</f>
        <v>3863</v>
      </c>
    </row>
    <row r="12" spans="1:11" x14ac:dyDescent="0.3">
      <c r="B12" s="63" t="str">
        <f>'Raw FS'!B14</f>
        <v>Advance from Customers</v>
      </c>
      <c r="C12" s="63"/>
      <c r="D12" s="63"/>
      <c r="E12" s="63"/>
      <c r="F12" s="121">
        <f>'Raw FS'!I14</f>
        <v>41</v>
      </c>
      <c r="G12" s="121">
        <f>'Raw FS'!J14</f>
        <v>76</v>
      </c>
      <c r="H12" s="121">
        <f>'Raw FS'!K14</f>
        <v>108</v>
      </c>
      <c r="I12" s="121">
        <f>'Raw FS'!L14</f>
        <v>154</v>
      </c>
      <c r="J12" s="121">
        <f>'Raw FS'!M14</f>
        <v>174</v>
      </c>
      <c r="K12" s="121">
        <f>'Raw FS'!N14</f>
        <v>107</v>
      </c>
    </row>
    <row r="13" spans="1:11" x14ac:dyDescent="0.3">
      <c r="B13" s="63" t="str">
        <f>'Raw FS'!B15</f>
        <v>Other liability items</v>
      </c>
      <c r="C13" s="63"/>
      <c r="D13" s="63"/>
      <c r="E13" s="63"/>
      <c r="F13" s="121">
        <f>'Raw FS'!I15</f>
        <v>2613</v>
      </c>
      <c r="G13" s="121">
        <f>'Raw FS'!J15</f>
        <v>2932</v>
      </c>
      <c r="H13" s="121">
        <f>'Raw FS'!K15</f>
        <v>3657</v>
      </c>
      <c r="I13" s="121">
        <f>'Raw FS'!L15</f>
        <v>4017</v>
      </c>
      <c r="J13" s="121">
        <f>'Raw FS'!M15</f>
        <v>3984</v>
      </c>
      <c r="K13" s="121">
        <f>'Raw FS'!N15</f>
        <v>4604</v>
      </c>
    </row>
    <row r="14" spans="1:11" x14ac:dyDescent="0.3">
      <c r="B14" s="67" t="s">
        <v>168</v>
      </c>
      <c r="C14" s="2"/>
      <c r="D14" s="2"/>
      <c r="E14" s="2"/>
      <c r="F14" s="75">
        <f>SUM(F11:F13)</f>
        <v>6033</v>
      </c>
      <c r="G14" s="75">
        <f>SUM(G11:G13)</f>
        <v>7172</v>
      </c>
      <c r="H14" s="75">
        <f>SUM(H11:H13)</f>
        <v>7400</v>
      </c>
      <c r="I14" s="75">
        <f>SUM(I11:I13)</f>
        <v>8002</v>
      </c>
      <c r="J14" s="75">
        <f>SUM(J11:J13)</f>
        <v>8006</v>
      </c>
      <c r="K14" s="75">
        <f>SUM(K11:K13)</f>
        <v>8574</v>
      </c>
    </row>
    <row r="15" spans="1:11" x14ac:dyDescent="0.3">
      <c r="F15" s="65"/>
      <c r="G15" s="65"/>
      <c r="H15" s="65"/>
      <c r="I15" s="65"/>
      <c r="J15" s="65"/>
      <c r="K15" s="65"/>
    </row>
    <row r="16" spans="1:11" ht="15" thickBot="1" x14ac:dyDescent="0.35">
      <c r="A16" t="s">
        <v>48</v>
      </c>
      <c r="B16" s="71" t="s">
        <v>169</v>
      </c>
      <c r="C16" s="71"/>
      <c r="D16" s="71"/>
      <c r="E16" s="71"/>
      <c r="F16" s="76">
        <f>F8-F14</f>
        <v>2934</v>
      </c>
      <c r="G16" s="76">
        <f>G8-G14</f>
        <v>5729</v>
      </c>
      <c r="H16" s="76">
        <f t="shared" ref="H16:K16" si="1">H8-H14</f>
        <v>6484</v>
      </c>
      <c r="I16" s="76">
        <f t="shared" si="1"/>
        <v>6382</v>
      </c>
      <c r="J16" s="76">
        <f t="shared" si="1"/>
        <v>6368</v>
      </c>
      <c r="K16" s="76">
        <f t="shared" si="1"/>
        <v>6321</v>
      </c>
    </row>
    <row r="17" spans="1:11" x14ac:dyDescent="0.3">
      <c r="F17" s="65"/>
      <c r="G17" s="65"/>
      <c r="H17" s="65"/>
      <c r="I17" s="65"/>
      <c r="J17" s="65"/>
      <c r="K17" s="65"/>
    </row>
    <row r="18" spans="1:11" x14ac:dyDescent="0.3">
      <c r="B18" s="1" t="s">
        <v>170</v>
      </c>
      <c r="F18" s="65"/>
      <c r="G18" s="65"/>
      <c r="H18" s="65"/>
      <c r="I18" s="65"/>
      <c r="J18" s="65"/>
      <c r="K18" s="65"/>
    </row>
    <row r="19" spans="1:11" x14ac:dyDescent="0.3">
      <c r="B19" s="63" t="str">
        <f>'Raw FS'!B19</f>
        <v>Land</v>
      </c>
      <c r="C19" s="63"/>
      <c r="D19" s="63"/>
      <c r="E19" s="63"/>
      <c r="F19" s="121">
        <f>'Raw FS'!I19</f>
        <v>644</v>
      </c>
      <c r="G19" s="121">
        <f>'Raw FS'!J19</f>
        <v>644</v>
      </c>
      <c r="H19" s="121">
        <f>'Raw FS'!K19</f>
        <v>804</v>
      </c>
      <c r="I19" s="121">
        <f>'Raw FS'!L19</f>
        <v>1126</v>
      </c>
      <c r="J19" s="121">
        <f>'Raw FS'!M19</f>
        <v>1035</v>
      </c>
      <c r="K19" s="121">
        <f>'Raw FS'!N19</f>
        <v>1204</v>
      </c>
    </row>
    <row r="20" spans="1:11" x14ac:dyDescent="0.3">
      <c r="B20" s="63" t="str">
        <f>'Raw FS'!B20</f>
        <v>Building</v>
      </c>
      <c r="C20" s="63"/>
      <c r="D20" s="63"/>
      <c r="E20" s="63"/>
      <c r="F20" s="121">
        <f>'Raw FS'!I20</f>
        <v>2249</v>
      </c>
      <c r="G20" s="121">
        <f>'Raw FS'!J20</f>
        <v>2325</v>
      </c>
      <c r="H20" s="121">
        <f>'Raw FS'!K20</f>
        <v>2883</v>
      </c>
      <c r="I20" s="121">
        <f>'Raw FS'!L20</f>
        <v>3390</v>
      </c>
      <c r="J20" s="121">
        <f>'Raw FS'!M20</f>
        <v>3771</v>
      </c>
      <c r="K20" s="121">
        <f>'Raw FS'!N20</f>
        <v>4124</v>
      </c>
    </row>
    <row r="21" spans="1:11" x14ac:dyDescent="0.3">
      <c r="B21" s="63" t="str">
        <f>'Raw FS'!B21</f>
        <v>Plant Machinery</v>
      </c>
      <c r="C21" s="63"/>
      <c r="D21" s="63"/>
      <c r="E21" s="63"/>
      <c r="F21" s="121">
        <f>'Raw FS'!I21</f>
        <v>4340</v>
      </c>
      <c r="G21" s="121">
        <f>'Raw FS'!J21</f>
        <v>4531</v>
      </c>
      <c r="H21" s="121">
        <f>'Raw FS'!K21</f>
        <v>4825</v>
      </c>
      <c r="I21" s="121">
        <f>'Raw FS'!L21</f>
        <v>5422</v>
      </c>
      <c r="J21" s="121">
        <f>'Raw FS'!M21</f>
        <v>7576</v>
      </c>
      <c r="K21" s="121">
        <f>'Raw FS'!N21</f>
        <v>8210</v>
      </c>
    </row>
    <row r="22" spans="1:11" x14ac:dyDescent="0.3">
      <c r="B22" s="63" t="str">
        <f>'Raw FS'!B22</f>
        <v>Equipments</v>
      </c>
      <c r="C22" s="63"/>
      <c r="D22" s="63"/>
      <c r="E22" s="63"/>
      <c r="F22" s="121">
        <f>'Raw FS'!I22</f>
        <v>243</v>
      </c>
      <c r="G22" s="121">
        <f>'Raw FS'!J22</f>
        <v>253</v>
      </c>
      <c r="H22" s="121">
        <f>'Raw FS'!K22</f>
        <v>270</v>
      </c>
      <c r="I22" s="121">
        <f>'Raw FS'!L22</f>
        <v>298</v>
      </c>
      <c r="J22" s="121">
        <f>'Raw FS'!M22</f>
        <v>325</v>
      </c>
      <c r="K22" s="121">
        <f>'Raw FS'!N22</f>
        <v>351</v>
      </c>
    </row>
    <row r="23" spans="1:11" x14ac:dyDescent="0.3">
      <c r="B23" s="63" t="str">
        <f>'Raw FS'!B23</f>
        <v>Furniture n fittings</v>
      </c>
      <c r="C23" s="63"/>
      <c r="D23" s="63"/>
      <c r="E23" s="63"/>
      <c r="F23" s="121">
        <f>'Raw FS'!I23</f>
        <v>99</v>
      </c>
      <c r="G23" s="121">
        <f>'Raw FS'!J23</f>
        <v>113</v>
      </c>
      <c r="H23" s="121">
        <f>'Raw FS'!K23</f>
        <v>146</v>
      </c>
      <c r="I23" s="121">
        <f>'Raw FS'!L23</f>
        <v>175</v>
      </c>
      <c r="J23" s="121">
        <f>'Raw FS'!M23</f>
        <v>203</v>
      </c>
      <c r="K23" s="121">
        <f>'Raw FS'!N23</f>
        <v>216</v>
      </c>
    </row>
    <row r="24" spans="1:11" x14ac:dyDescent="0.3">
      <c r="B24" s="63" t="str">
        <f>'Raw FS'!B24</f>
        <v>Vehicles</v>
      </c>
      <c r="C24" s="63"/>
      <c r="D24" s="63"/>
      <c r="E24" s="63"/>
      <c r="F24" s="121">
        <f>'Raw FS'!I24</f>
        <v>38</v>
      </c>
      <c r="G24" s="121">
        <f>'Raw FS'!J24</f>
        <v>32</v>
      </c>
      <c r="H24" s="121">
        <f>'Raw FS'!K24</f>
        <v>36</v>
      </c>
      <c r="I24" s="121">
        <f>'Raw FS'!L24</f>
        <v>40</v>
      </c>
      <c r="J24" s="121">
        <f>'Raw FS'!M24</f>
        <v>34</v>
      </c>
      <c r="K24" s="121">
        <f>'Raw FS'!N24</f>
        <v>45</v>
      </c>
    </row>
    <row r="25" spans="1:11" x14ac:dyDescent="0.3">
      <c r="B25" s="63" t="str">
        <f>'Raw FS'!B25</f>
        <v>Intangible Assets</v>
      </c>
      <c r="C25" s="63"/>
      <c r="D25" s="63"/>
      <c r="E25" s="63"/>
      <c r="F25" s="121">
        <f>'Raw FS'!I25</f>
        <v>476</v>
      </c>
      <c r="G25" s="121">
        <f>'Raw FS'!J25</f>
        <v>345</v>
      </c>
      <c r="H25" s="121">
        <f>'Raw FS'!K25</f>
        <v>422</v>
      </c>
      <c r="I25" s="121">
        <f>'Raw FS'!L25</f>
        <v>850</v>
      </c>
      <c r="J25" s="121">
        <f>'Raw FS'!M25</f>
        <v>827</v>
      </c>
      <c r="K25" s="121">
        <f>'Raw FS'!N25</f>
        <v>833</v>
      </c>
    </row>
    <row r="26" spans="1:11" x14ac:dyDescent="0.3">
      <c r="B26" s="63" t="str">
        <f>'Raw FS'!B26</f>
        <v>Other fixed assets</v>
      </c>
      <c r="C26" s="63"/>
      <c r="D26" s="63"/>
      <c r="E26" s="63"/>
      <c r="F26" s="121">
        <f>'Raw FS'!I26</f>
        <v>302</v>
      </c>
      <c r="G26" s="121">
        <f>'Raw FS'!J26</f>
        <v>294</v>
      </c>
      <c r="H26" s="121">
        <f>'Raw FS'!K26</f>
        <v>289</v>
      </c>
      <c r="I26" s="121">
        <f>'Raw FS'!L26</f>
        <v>321</v>
      </c>
      <c r="J26" s="121">
        <f>'Raw FS'!M26</f>
        <v>328</v>
      </c>
      <c r="K26" s="121">
        <f>'Raw FS'!N26</f>
        <v>335</v>
      </c>
    </row>
    <row r="27" spans="1:11" ht="5.25" customHeight="1" x14ac:dyDescent="0.3">
      <c r="B27" s="63"/>
      <c r="C27" s="63"/>
      <c r="D27" s="63"/>
      <c r="E27" s="63"/>
      <c r="F27" s="64"/>
      <c r="G27" s="64"/>
      <c r="H27" s="64"/>
      <c r="I27" s="64"/>
      <c r="J27" s="64"/>
      <c r="K27" s="64"/>
    </row>
    <row r="28" spans="1:11" x14ac:dyDescent="0.3">
      <c r="B28" s="67" t="s">
        <v>156</v>
      </c>
      <c r="C28" s="2"/>
      <c r="D28" s="2"/>
      <c r="E28" s="2"/>
      <c r="F28" s="75">
        <f>SUM(F19:F27)</f>
        <v>8391</v>
      </c>
      <c r="G28" s="75">
        <f>SUM(G19:G27)</f>
        <v>8537</v>
      </c>
      <c r="H28" s="75">
        <f t="shared" ref="H28:K28" si="2">SUM(H19:H27)</f>
        <v>9675</v>
      </c>
      <c r="I28" s="75">
        <f t="shared" si="2"/>
        <v>11622</v>
      </c>
      <c r="J28" s="75">
        <f t="shared" si="2"/>
        <v>14099</v>
      </c>
      <c r="K28" s="75">
        <f t="shared" si="2"/>
        <v>15318</v>
      </c>
    </row>
    <row r="29" spans="1:11" x14ac:dyDescent="0.3">
      <c r="B29" t="s">
        <v>157</v>
      </c>
      <c r="F29" s="122">
        <f>-'Raw FS'!I28</f>
        <v>-2533</v>
      </c>
      <c r="G29" s="122">
        <f>-'Raw FS'!J28</f>
        <v>-3019</v>
      </c>
      <c r="H29" s="122">
        <f>-'Raw FS'!K28</f>
        <v>-3905</v>
      </c>
      <c r="I29" s="122">
        <f>-'Raw FS'!L28</f>
        <v>-4475</v>
      </c>
      <c r="J29" s="122">
        <f>-'Raw FS'!M28</f>
        <v>-4879</v>
      </c>
      <c r="K29" s="122">
        <f>-'Raw FS'!N28</f>
        <v>-5676</v>
      </c>
    </row>
    <row r="30" spans="1:11" ht="15" thickBot="1" x14ac:dyDescent="0.35">
      <c r="A30" t="s">
        <v>48</v>
      </c>
      <c r="B30" s="71" t="s">
        <v>171</v>
      </c>
      <c r="C30" s="71"/>
      <c r="D30" s="71"/>
      <c r="E30" s="71"/>
      <c r="F30" s="76">
        <f>SUM(F28:F29)</f>
        <v>5858</v>
      </c>
      <c r="G30" s="76">
        <f>SUM(G28:G29)</f>
        <v>5518</v>
      </c>
      <c r="H30" s="76">
        <f t="shared" ref="H30:K30" si="3">SUM(H28:H29)</f>
        <v>5770</v>
      </c>
      <c r="I30" s="76">
        <f t="shared" si="3"/>
        <v>7147</v>
      </c>
      <c r="J30" s="76">
        <f t="shared" si="3"/>
        <v>9220</v>
      </c>
      <c r="K30" s="76">
        <f t="shared" si="3"/>
        <v>9642</v>
      </c>
    </row>
    <row r="31" spans="1:11" x14ac:dyDescent="0.3">
      <c r="F31" s="65"/>
      <c r="G31" s="65"/>
      <c r="H31" s="65"/>
      <c r="I31" s="65"/>
      <c r="J31" s="65"/>
      <c r="K31" s="65"/>
    </row>
    <row r="32" spans="1:11" x14ac:dyDescent="0.3">
      <c r="A32" t="s">
        <v>48</v>
      </c>
      <c r="B32" s="1" t="s">
        <v>172</v>
      </c>
      <c r="C32" s="1"/>
      <c r="D32" s="1"/>
      <c r="E32" s="1"/>
      <c r="F32" s="66">
        <f>F30+F16</f>
        <v>8792</v>
      </c>
      <c r="G32" s="66">
        <f>G30+G16</f>
        <v>11247</v>
      </c>
      <c r="H32" s="66">
        <f t="shared" ref="H32:K32" si="4">H30+H16</f>
        <v>12254</v>
      </c>
      <c r="I32" s="66">
        <f t="shared" si="4"/>
        <v>13529</v>
      </c>
      <c r="J32" s="66">
        <f t="shared" si="4"/>
        <v>15588</v>
      </c>
      <c r="K32" s="66">
        <f t="shared" si="4"/>
        <v>15963</v>
      </c>
    </row>
    <row r="33" spans="1:11" x14ac:dyDescent="0.3">
      <c r="B33" s="1" t="s">
        <v>173</v>
      </c>
      <c r="C33" s="1"/>
      <c r="D33" s="1"/>
      <c r="E33" s="1"/>
      <c r="F33" s="123">
        <f>'Data Sheet'!F34-'Data Sheet'!F26</f>
        <v>4328.5199999999986</v>
      </c>
      <c r="G33" s="123">
        <f>'Data Sheet'!G34-'Data Sheet'!G26</f>
        <v>4228.8900000000003</v>
      </c>
      <c r="H33" s="123">
        <f>'Data Sheet'!H34-'Data Sheet'!H26</f>
        <v>5744.4</v>
      </c>
      <c r="I33" s="123">
        <f>'Data Sheet'!I34-'Data Sheet'!I26</f>
        <v>7455.48</v>
      </c>
      <c r="J33" s="123">
        <f>'Data Sheet'!J34-'Data Sheet'!J26</f>
        <v>5287.6100000000006</v>
      </c>
      <c r="K33" s="123">
        <f>'Data Sheet'!K34-'Data Sheet'!K26</f>
        <v>6129.51</v>
      </c>
    </row>
    <row r="35" spans="1:11" ht="15" thickBot="1" x14ac:dyDescent="0.35">
      <c r="A35" t="s">
        <v>48</v>
      </c>
      <c r="B35" s="71" t="s">
        <v>164</v>
      </c>
      <c r="C35" s="72"/>
      <c r="D35" s="72"/>
      <c r="E35" s="72"/>
      <c r="F35" s="73">
        <f>F33/F32</f>
        <v>0.49232484076433103</v>
      </c>
      <c r="G35" s="73">
        <f>G33/G32</f>
        <v>0.37600160042678049</v>
      </c>
      <c r="H35" s="73">
        <f t="shared" ref="H35:K35" si="5">H33/H32</f>
        <v>0.46877754202709315</v>
      </c>
      <c r="I35" s="73">
        <f t="shared" si="5"/>
        <v>0.55107398920836714</v>
      </c>
      <c r="J35" s="73">
        <f t="shared" si="5"/>
        <v>0.33921028996664104</v>
      </c>
      <c r="K35" s="73">
        <f t="shared" si="5"/>
        <v>0.3839823341477166</v>
      </c>
    </row>
    <row r="38" spans="1:11" x14ac:dyDescent="0.3">
      <c r="A38" t="s">
        <v>48</v>
      </c>
      <c r="B38" s="103" t="s">
        <v>174</v>
      </c>
      <c r="C38" s="104"/>
      <c r="D38" s="104"/>
      <c r="E38" s="104"/>
      <c r="F38" s="105">
        <f>'Raw FS'!I$2</f>
        <v>44256</v>
      </c>
      <c r="G38" s="105">
        <f>'Raw FS'!J$2</f>
        <v>44621</v>
      </c>
      <c r="H38" s="105">
        <f>'Raw FS'!K$2</f>
        <v>44986</v>
      </c>
      <c r="I38" s="105">
        <f>'Raw FS'!L$2</f>
        <v>45352</v>
      </c>
      <c r="J38" s="105">
        <f>'Raw FS'!M$2</f>
        <v>45717</v>
      </c>
      <c r="K38" s="105">
        <f>'Raw FS'!N$2</f>
        <v>46082</v>
      </c>
    </row>
    <row r="40" spans="1:11" x14ac:dyDescent="0.3">
      <c r="B40" s="63" t="s">
        <v>175</v>
      </c>
      <c r="C40" s="63"/>
      <c r="D40" s="63"/>
      <c r="E40" s="63"/>
      <c r="F40" s="121">
        <f>-SUM('Raw FS'!I54:I55)</f>
        <v>261</v>
      </c>
      <c r="G40" s="121">
        <f>-SUM('Raw FS'!J54:J55)</f>
        <v>511</v>
      </c>
      <c r="H40" s="121">
        <f>-SUM('Raw FS'!K54:K55)</f>
        <v>1420</v>
      </c>
      <c r="I40" s="121">
        <f>-SUM('Raw FS'!L54:L55)</f>
        <v>2491</v>
      </c>
      <c r="J40" s="121">
        <f>-SUM('Raw FS'!M54:M55)</f>
        <v>1820</v>
      </c>
      <c r="K40" s="121">
        <f>-SUM('Raw FS'!N54:N55)</f>
        <v>1484</v>
      </c>
    </row>
    <row r="41" spans="1:11" x14ac:dyDescent="0.3">
      <c r="B41" s="63" t="s">
        <v>196</v>
      </c>
      <c r="C41" s="63"/>
      <c r="D41" s="63"/>
      <c r="E41" s="63"/>
      <c r="F41" s="64">
        <f t="shared" ref="F41:G41" si="6">F16-E16</f>
        <v>2934</v>
      </c>
      <c r="G41" s="64">
        <f t="shared" si="6"/>
        <v>2795</v>
      </c>
      <c r="H41" s="64">
        <f>H16-G16</f>
        <v>755</v>
      </c>
      <c r="I41" s="64">
        <f t="shared" ref="I41:K41" si="7">I16-H16</f>
        <v>-102</v>
      </c>
      <c r="J41" s="64">
        <f t="shared" si="7"/>
        <v>-14</v>
      </c>
      <c r="K41" s="64">
        <f t="shared" si="7"/>
        <v>-47</v>
      </c>
    </row>
    <row r="42" spans="1:11" x14ac:dyDescent="0.3">
      <c r="B42" s="63"/>
      <c r="C42" s="63"/>
      <c r="D42" s="63"/>
      <c r="E42" s="63"/>
      <c r="F42" s="64"/>
      <c r="G42" s="64"/>
      <c r="H42" s="64"/>
      <c r="I42" s="64"/>
      <c r="J42" s="64"/>
      <c r="K42" s="64"/>
    </row>
    <row r="43" spans="1:11" x14ac:dyDescent="0.3">
      <c r="B43" s="63" t="s">
        <v>173</v>
      </c>
      <c r="C43" s="63"/>
      <c r="D43" s="63"/>
      <c r="E43" s="63"/>
      <c r="F43" s="64">
        <f>F33</f>
        <v>4328.5199999999986</v>
      </c>
      <c r="G43" s="64">
        <f>G33</f>
        <v>4228.8900000000003</v>
      </c>
      <c r="H43" s="64">
        <f t="shared" ref="H43:K43" si="8">H33</f>
        <v>5744.4</v>
      </c>
      <c r="I43" s="64">
        <f t="shared" si="8"/>
        <v>7455.48</v>
      </c>
      <c r="J43" s="64">
        <f t="shared" si="8"/>
        <v>5287.6100000000006</v>
      </c>
      <c r="K43" s="64">
        <f t="shared" si="8"/>
        <v>6129.51</v>
      </c>
    </row>
    <row r="44" spans="1:11" x14ac:dyDescent="0.3">
      <c r="B44" s="63" t="s">
        <v>197</v>
      </c>
      <c r="C44" s="63"/>
      <c r="D44" s="63"/>
      <c r="E44" s="63"/>
      <c r="F44" s="77">
        <v>-0.75</v>
      </c>
      <c r="G44" s="77">
        <v>0.25</v>
      </c>
      <c r="H44" s="77">
        <v>0.25</v>
      </c>
      <c r="I44" s="77">
        <v>0.25</v>
      </c>
      <c r="J44" s="77">
        <v>0.25</v>
      </c>
      <c r="K44" s="77">
        <v>0.25</v>
      </c>
    </row>
    <row r="45" spans="1:11" x14ac:dyDescent="0.3">
      <c r="B45" s="63" t="s">
        <v>199</v>
      </c>
      <c r="C45" s="63"/>
      <c r="D45" s="63"/>
      <c r="E45" s="63"/>
      <c r="F45" s="78">
        <f>F43*(1-F44)</f>
        <v>7574.909999999998</v>
      </c>
      <c r="G45" s="78">
        <f>G43*(1-G44)</f>
        <v>3171.6675000000005</v>
      </c>
      <c r="H45" s="78">
        <f t="shared" ref="H45:K45" si="9">H43*(1-H44)</f>
        <v>4308.2999999999993</v>
      </c>
      <c r="I45" s="78">
        <f t="shared" si="9"/>
        <v>5591.61</v>
      </c>
      <c r="J45" s="78">
        <f t="shared" si="9"/>
        <v>3965.7075000000004</v>
      </c>
      <c r="K45" s="78">
        <f t="shared" si="9"/>
        <v>4597.1324999999997</v>
      </c>
    </row>
    <row r="46" spans="1:11" x14ac:dyDescent="0.3">
      <c r="B46" s="63"/>
      <c r="C46" s="63"/>
      <c r="D46" s="63"/>
      <c r="E46" s="63"/>
      <c r="F46" s="64"/>
      <c r="G46" s="64"/>
      <c r="H46" s="64"/>
      <c r="I46" s="64"/>
      <c r="J46" s="64"/>
      <c r="K46" s="64"/>
    </row>
    <row r="47" spans="1:11" x14ac:dyDescent="0.3">
      <c r="B47" s="63" t="s">
        <v>198</v>
      </c>
      <c r="C47" s="63"/>
      <c r="D47" s="63"/>
      <c r="E47" s="63"/>
      <c r="F47" s="64">
        <f t="shared" ref="F47:G47" si="10">SUM(F40:F41)</f>
        <v>3195</v>
      </c>
      <c r="G47" s="64">
        <f t="shared" si="10"/>
        <v>3306</v>
      </c>
      <c r="H47" s="64">
        <f>SUM(H40:H41)</f>
        <v>2175</v>
      </c>
      <c r="I47" s="64">
        <f t="shared" ref="I47:K47" si="11">SUM(I40:I41)</f>
        <v>2389</v>
      </c>
      <c r="J47" s="64">
        <f t="shared" si="11"/>
        <v>1806</v>
      </c>
      <c r="K47" s="64">
        <f t="shared" si="11"/>
        <v>1437</v>
      </c>
    </row>
    <row r="48" spans="1:11" ht="3.75" customHeight="1" x14ac:dyDescent="0.3">
      <c r="H48" s="61"/>
      <c r="I48" s="61"/>
      <c r="J48" s="61"/>
      <c r="K48" s="61"/>
    </row>
    <row r="49" spans="1:13" ht="15" thickBot="1" x14ac:dyDescent="0.35">
      <c r="B49" s="71" t="s">
        <v>200</v>
      </c>
      <c r="C49" s="71"/>
      <c r="D49" s="71"/>
      <c r="E49" s="71"/>
      <c r="F49" s="73">
        <f t="shared" ref="F49:G49" si="12">F47/F45</f>
        <v>0.42178718955076705</v>
      </c>
      <c r="G49" s="73">
        <f t="shared" si="12"/>
        <v>1.0423539037430625</v>
      </c>
      <c r="H49" s="73">
        <f>H47/H45</f>
        <v>0.50483949585683452</v>
      </c>
      <c r="I49" s="73">
        <f t="shared" ref="I49:K49" si="13">I47/I45</f>
        <v>0.42724725079181131</v>
      </c>
      <c r="J49" s="73">
        <f t="shared" si="13"/>
        <v>0.45540423745321607</v>
      </c>
      <c r="K49" s="73">
        <f t="shared" si="13"/>
        <v>0.31258616104713105</v>
      </c>
    </row>
    <row r="50" spans="1:13" x14ac:dyDescent="0.3">
      <c r="H50" s="6"/>
      <c r="I50" s="6"/>
      <c r="J50" s="6"/>
      <c r="K50" s="6"/>
    </row>
    <row r="51" spans="1:13" x14ac:dyDescent="0.3">
      <c r="J51" s="33" t="s">
        <v>250</v>
      </c>
      <c r="K51" s="34">
        <f>AVERAGE(G49:K49)</f>
        <v>0.54848620977841112</v>
      </c>
    </row>
    <row r="52" spans="1:13" x14ac:dyDescent="0.3">
      <c r="J52" s="33" t="s">
        <v>251</v>
      </c>
      <c r="K52" s="34">
        <f>MEDIAN(G49:K49)</f>
        <v>0.45540423745321607</v>
      </c>
    </row>
    <row r="54" spans="1:13" x14ac:dyDescent="0.3">
      <c r="A54" t="s">
        <v>48</v>
      </c>
      <c r="B54" s="103" t="s">
        <v>201</v>
      </c>
      <c r="C54" s="104"/>
      <c r="D54" s="104"/>
      <c r="E54" s="104"/>
      <c r="F54" s="105">
        <f>'Raw FS'!I$2</f>
        <v>44256</v>
      </c>
      <c r="G54" s="105">
        <f>'Raw FS'!J$2</f>
        <v>44621</v>
      </c>
      <c r="H54" s="105">
        <f>'Raw FS'!K$2</f>
        <v>44986</v>
      </c>
      <c r="I54" s="105">
        <f>'Raw FS'!L$2</f>
        <v>45352</v>
      </c>
      <c r="J54" s="105">
        <f>'Raw FS'!M$2</f>
        <v>45717</v>
      </c>
      <c r="K54" s="105">
        <f>'Raw FS'!N$2</f>
        <v>46082</v>
      </c>
    </row>
    <row r="56" spans="1:13" x14ac:dyDescent="0.3">
      <c r="B56" s="63" t="s">
        <v>200</v>
      </c>
      <c r="C56" s="63"/>
      <c r="D56" s="63"/>
      <c r="E56" s="63"/>
      <c r="F56" s="79">
        <f t="shared" ref="F56:G56" si="14">F49</f>
        <v>0.42178718955076705</v>
      </c>
      <c r="G56" s="79">
        <f t="shared" si="14"/>
        <v>1.0423539037430625</v>
      </c>
      <c r="H56" s="79">
        <f>H49</f>
        <v>0.50483949585683452</v>
      </c>
      <c r="I56" s="79">
        <f t="shared" ref="I56:K56" si="15">I49</f>
        <v>0.42724725079181131</v>
      </c>
      <c r="J56" s="79">
        <f t="shared" si="15"/>
        <v>0.45540423745321607</v>
      </c>
      <c r="K56" s="79">
        <f t="shared" si="15"/>
        <v>0.31258616104713105</v>
      </c>
    </row>
    <row r="57" spans="1:13" x14ac:dyDescent="0.3">
      <c r="B57" s="63" t="s">
        <v>164</v>
      </c>
      <c r="C57" s="63"/>
      <c r="D57" s="63"/>
      <c r="E57" s="63"/>
      <c r="F57" s="79">
        <f t="shared" ref="F57:G57" si="16">F35</f>
        <v>0.49232484076433103</v>
      </c>
      <c r="G57" s="79">
        <f t="shared" si="16"/>
        <v>0.37600160042678049</v>
      </c>
      <c r="H57" s="79">
        <f>H35</f>
        <v>0.46877754202709315</v>
      </c>
      <c r="I57" s="79">
        <f t="shared" ref="I57:K57" si="17">I35</f>
        <v>0.55107398920836714</v>
      </c>
      <c r="J57" s="79">
        <f t="shared" si="17"/>
        <v>0.33921028996664104</v>
      </c>
      <c r="K57" s="79">
        <f t="shared" si="17"/>
        <v>0.3839823341477166</v>
      </c>
    </row>
    <row r="58" spans="1:13" ht="4.5" customHeight="1" x14ac:dyDescent="0.3"/>
    <row r="59" spans="1:13" ht="15" thickBot="1" x14ac:dyDescent="0.35">
      <c r="B59" s="71" t="s">
        <v>202</v>
      </c>
      <c r="C59" s="71"/>
      <c r="D59" s="71"/>
      <c r="E59" s="71"/>
      <c r="F59" s="80">
        <f t="shared" ref="F59:G59" si="18">F56*F57</f>
        <v>0.20765631093201609</v>
      </c>
      <c r="G59" s="80">
        <f t="shared" si="18"/>
        <v>0.39192673601849382</v>
      </c>
      <c r="H59" s="80">
        <f>H56*H57</f>
        <v>0.23665741798596376</v>
      </c>
      <c r="I59" s="80">
        <f t="shared" ref="I59:K59" si="19">I56*I57</f>
        <v>0.23544484687215114</v>
      </c>
      <c r="J59" s="80">
        <f>J56*J57</f>
        <v>0.15447780343854248</v>
      </c>
      <c r="K59" s="80">
        <f t="shared" si="19"/>
        <v>0.12002756374115144</v>
      </c>
      <c r="M59" s="74"/>
    </row>
    <row r="61" spans="1:13" x14ac:dyDescent="0.3">
      <c r="J61" s="33" t="s">
        <v>250</v>
      </c>
      <c r="K61" s="34">
        <f>AVERAGE(G59:K59)</f>
        <v>0.22770687361126055</v>
      </c>
    </row>
    <row r="62" spans="1:13" x14ac:dyDescent="0.3">
      <c r="J62" s="33" t="s">
        <v>251</v>
      </c>
      <c r="K62" s="34">
        <f>MEDIAN(G59:K59)</f>
        <v>0.23544484687215114</v>
      </c>
    </row>
  </sheetData>
  <pageMargins left="0.7" right="0.7" top="0.75" bottom="0.75" header="0.3" footer="0.3"/>
  <ignoredErrors>
    <ignoredError sqref="F40:K4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1D-EA6A-4D88-9BB4-8F4EE9A886E0}">
  <dimension ref="B2:H8"/>
  <sheetViews>
    <sheetView showGridLines="0" zoomScale="190" zoomScaleNormal="190" workbookViewId="0">
      <selection activeCell="B6" sqref="B6"/>
    </sheetView>
  </sheetViews>
  <sheetFormatPr defaultRowHeight="14.4" x14ac:dyDescent="0.3"/>
  <cols>
    <col min="1" max="1" width="1.88671875" customWidth="1"/>
    <col min="3" max="3" width="16.109375" bestFit="1" customWidth="1"/>
    <col min="4" max="4" width="8.33203125" bestFit="1" customWidth="1"/>
    <col min="5" max="5" width="14.44140625" bestFit="1" customWidth="1"/>
    <col min="6" max="6" width="10.6640625" bestFit="1" customWidth="1"/>
    <col min="11" max="11" width="9" bestFit="1" customWidth="1"/>
    <col min="12" max="12" width="13.21875" bestFit="1" customWidth="1"/>
    <col min="13" max="14" width="9" bestFit="1" customWidth="1"/>
    <col min="18" max="18" width="16.109375" bestFit="1" customWidth="1"/>
    <col min="19" max="19" width="8.33203125" bestFit="1" customWidth="1"/>
    <col min="20" max="20" width="14.44140625" bestFit="1" customWidth="1"/>
  </cols>
  <sheetData>
    <row r="2" spans="2:8" x14ac:dyDescent="0.3">
      <c r="B2" s="140" t="s">
        <v>248</v>
      </c>
      <c r="C2" s="140"/>
      <c r="D2" s="140"/>
      <c r="E2" s="140"/>
      <c r="F2" s="140"/>
      <c r="G2" s="140"/>
      <c r="H2" s="140"/>
    </row>
    <row r="3" spans="2:8" x14ac:dyDescent="0.3">
      <c r="B3" t="s">
        <v>31</v>
      </c>
      <c r="C3" t="s">
        <v>1</v>
      </c>
      <c r="D3" t="s">
        <v>32</v>
      </c>
      <c r="E3" t="s">
        <v>34</v>
      </c>
      <c r="F3" t="s">
        <v>33</v>
      </c>
      <c r="G3" t="s">
        <v>35</v>
      </c>
      <c r="H3" t="s">
        <v>240</v>
      </c>
    </row>
    <row r="4" spans="2:8" x14ac:dyDescent="0.3">
      <c r="B4">
        <v>1</v>
      </c>
      <c r="C4" t="s">
        <v>235</v>
      </c>
      <c r="D4" s="4">
        <v>2627.45</v>
      </c>
      <c r="E4" s="4">
        <v>252024.35</v>
      </c>
      <c r="F4" s="4">
        <v>3928.93</v>
      </c>
      <c r="G4" s="4">
        <v>0.18</v>
      </c>
      <c r="H4">
        <v>0.86699999999999999</v>
      </c>
    </row>
    <row r="5" spans="2:8" x14ac:dyDescent="0.3">
      <c r="B5">
        <v>2</v>
      </c>
      <c r="C5" t="s">
        <v>236</v>
      </c>
      <c r="D5" s="4">
        <v>517.04999999999995</v>
      </c>
      <c r="E5" s="4">
        <v>60288.18</v>
      </c>
      <c r="F5" s="4">
        <v>635.13</v>
      </c>
      <c r="G5" s="4">
        <v>0.09</v>
      </c>
      <c r="H5">
        <v>0.85499999999999998</v>
      </c>
    </row>
    <row r="6" spans="2:8" x14ac:dyDescent="0.3">
      <c r="B6">
        <v>3</v>
      </c>
      <c r="C6" t="s">
        <v>237</v>
      </c>
      <c r="D6" s="4">
        <v>201.9</v>
      </c>
      <c r="E6" s="4">
        <v>16329.27</v>
      </c>
      <c r="F6" s="4">
        <v>302.73</v>
      </c>
      <c r="G6" s="4">
        <v>0.05</v>
      </c>
      <c r="H6">
        <v>0.90800000000000003</v>
      </c>
    </row>
    <row r="7" spans="2:8" x14ac:dyDescent="0.3">
      <c r="B7">
        <v>4</v>
      </c>
      <c r="C7" t="s">
        <v>238</v>
      </c>
      <c r="D7" s="4">
        <v>3134.95</v>
      </c>
      <c r="E7" s="4">
        <v>14276.65</v>
      </c>
      <c r="F7" s="4">
        <v>79.099999999999994</v>
      </c>
      <c r="G7" s="4">
        <v>0.03</v>
      </c>
      <c r="H7">
        <v>0.44900000000000001</v>
      </c>
    </row>
    <row r="8" spans="2:8" x14ac:dyDescent="0.3">
      <c r="B8">
        <v>5</v>
      </c>
      <c r="C8" t="s">
        <v>239</v>
      </c>
      <c r="D8" s="4">
        <v>1143.5999999999999</v>
      </c>
      <c r="E8" s="4">
        <v>5458.72</v>
      </c>
      <c r="F8" s="4">
        <v>18.37</v>
      </c>
      <c r="G8" s="4">
        <v>0.02</v>
      </c>
      <c r="H8">
        <v>1.1200000000000001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55B1-9469-4E1B-8CE5-647380F64976}">
  <dimension ref="B2:AB72"/>
  <sheetViews>
    <sheetView showGridLines="0" topLeftCell="A2" zoomScale="175" zoomScaleNormal="175" workbookViewId="0">
      <pane ySplit="1" topLeftCell="A3" activePane="bottomLeft" state="frozen"/>
      <selection activeCell="A2" sqref="A2"/>
      <selection pane="bottomLeft" activeCell="J6" sqref="J6"/>
    </sheetView>
  </sheetViews>
  <sheetFormatPr defaultRowHeight="14.4" x14ac:dyDescent="0.3"/>
  <cols>
    <col min="1" max="1" width="1.88671875" customWidth="1"/>
    <col min="2" max="2" width="29.109375" bestFit="1" customWidth="1"/>
    <col min="3" max="3" width="7.33203125" bestFit="1" customWidth="1"/>
    <col min="4" max="14" width="8.109375" bestFit="1" customWidth="1"/>
    <col min="16" max="16" width="25.77734375" bestFit="1" customWidth="1"/>
    <col min="17" max="27" width="7" bestFit="1" customWidth="1"/>
    <col min="28" max="28" width="6.109375" bestFit="1" customWidth="1"/>
  </cols>
  <sheetData>
    <row r="2" spans="2:14" x14ac:dyDescent="0.3">
      <c r="B2" s="103" t="s">
        <v>244</v>
      </c>
      <c r="C2" s="105">
        <v>42064</v>
      </c>
      <c r="D2" s="105">
        <v>42430</v>
      </c>
      <c r="E2" s="105">
        <v>42795</v>
      </c>
      <c r="F2" s="105">
        <v>43160</v>
      </c>
      <c r="G2" s="105">
        <v>43525</v>
      </c>
      <c r="H2" s="105">
        <v>43891</v>
      </c>
      <c r="I2" s="105">
        <v>44256</v>
      </c>
      <c r="J2" s="105">
        <v>44621</v>
      </c>
      <c r="K2" s="105">
        <v>44986</v>
      </c>
      <c r="L2" s="105">
        <v>45352</v>
      </c>
      <c r="M2" s="105">
        <v>45717</v>
      </c>
      <c r="N2" s="105">
        <v>46082</v>
      </c>
    </row>
    <row r="3" spans="2:14" x14ac:dyDescent="0.3"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2:14" x14ac:dyDescent="0.3">
      <c r="B4" s="1" t="s">
        <v>136</v>
      </c>
      <c r="C4" s="64">
        <v>96</v>
      </c>
      <c r="D4" s="64">
        <v>96</v>
      </c>
      <c r="E4" s="64">
        <v>96</v>
      </c>
      <c r="F4" s="64">
        <v>96</v>
      </c>
      <c r="G4" s="64">
        <v>96</v>
      </c>
      <c r="H4" s="64">
        <v>96</v>
      </c>
      <c r="I4" s="64">
        <v>96</v>
      </c>
      <c r="J4" s="64">
        <v>96</v>
      </c>
      <c r="K4" s="64">
        <v>96</v>
      </c>
      <c r="L4" s="64">
        <v>96</v>
      </c>
      <c r="M4" s="64">
        <v>96</v>
      </c>
      <c r="N4" s="64">
        <v>96</v>
      </c>
    </row>
    <row r="5" spans="2:14" x14ac:dyDescent="0.3">
      <c r="B5" s="1" t="s">
        <v>79</v>
      </c>
      <c r="C5" s="64">
        <v>4646</v>
      </c>
      <c r="D5" s="64">
        <v>6429</v>
      </c>
      <c r="E5" s="64">
        <v>7508</v>
      </c>
      <c r="F5" s="64">
        <v>8314</v>
      </c>
      <c r="G5" s="64">
        <v>9375</v>
      </c>
      <c r="H5" s="64">
        <v>10034</v>
      </c>
      <c r="I5" s="64">
        <v>12710</v>
      </c>
      <c r="J5" s="64">
        <v>13716</v>
      </c>
      <c r="K5" s="64">
        <v>15896</v>
      </c>
      <c r="L5" s="64">
        <v>18632</v>
      </c>
      <c r="M5" s="64">
        <v>19304</v>
      </c>
      <c r="N5" s="64">
        <v>21276</v>
      </c>
    </row>
    <row r="6" spans="2:14" x14ac:dyDescent="0.3">
      <c r="B6" s="1" t="s">
        <v>137</v>
      </c>
      <c r="C6" s="64">
        <v>418</v>
      </c>
      <c r="D6" s="64">
        <v>323</v>
      </c>
      <c r="E6" s="64">
        <v>560</v>
      </c>
      <c r="F6" s="64">
        <v>533</v>
      </c>
      <c r="G6" s="64">
        <v>1320</v>
      </c>
      <c r="H6" s="64">
        <v>1118</v>
      </c>
      <c r="I6" s="64">
        <v>1093</v>
      </c>
      <c r="J6" s="64">
        <v>1587</v>
      </c>
      <c r="K6" s="64">
        <v>1933</v>
      </c>
      <c r="L6" s="64">
        <v>2474</v>
      </c>
      <c r="M6" s="64">
        <v>2290</v>
      </c>
      <c r="N6" s="64">
        <v>3929</v>
      </c>
    </row>
    <row r="7" spans="2:14" x14ac:dyDescent="0.3">
      <c r="B7" t="s">
        <v>138</v>
      </c>
      <c r="C7" s="64">
        <v>78</v>
      </c>
      <c r="D7" s="64">
        <v>73</v>
      </c>
      <c r="E7" s="64">
        <v>41</v>
      </c>
      <c r="F7" s="64">
        <v>28</v>
      </c>
      <c r="G7" s="64">
        <v>19</v>
      </c>
      <c r="H7" s="64">
        <v>19</v>
      </c>
      <c r="I7" s="64">
        <v>15</v>
      </c>
      <c r="J7" s="64">
        <v>45</v>
      </c>
      <c r="K7" s="64">
        <v>76</v>
      </c>
      <c r="L7" s="64">
        <v>54</v>
      </c>
      <c r="M7" s="64">
        <v>260</v>
      </c>
      <c r="N7" s="64">
        <v>1247</v>
      </c>
    </row>
    <row r="8" spans="2:14" x14ac:dyDescent="0.3">
      <c r="B8" t="s">
        <v>139</v>
      </c>
      <c r="C8" s="64">
        <v>332</v>
      </c>
      <c r="D8" s="64">
        <v>231</v>
      </c>
      <c r="E8" s="64">
        <v>504</v>
      </c>
      <c r="F8" s="64">
        <v>492</v>
      </c>
      <c r="G8" s="64">
        <v>597</v>
      </c>
      <c r="H8" s="64">
        <v>321</v>
      </c>
      <c r="I8" s="64">
        <v>334</v>
      </c>
      <c r="J8" s="64">
        <v>731</v>
      </c>
      <c r="K8" s="64">
        <v>896</v>
      </c>
      <c r="L8" s="64">
        <v>1053</v>
      </c>
      <c r="M8" s="64">
        <v>604</v>
      </c>
      <c r="N8" s="64">
        <v>1046</v>
      </c>
    </row>
    <row r="9" spans="2:14" x14ac:dyDescent="0.3">
      <c r="B9" t="s">
        <v>140</v>
      </c>
      <c r="C9" s="64">
        <v>0</v>
      </c>
      <c r="D9" s="64">
        <v>0</v>
      </c>
      <c r="E9" s="64">
        <v>0</v>
      </c>
      <c r="F9" s="64">
        <v>0</v>
      </c>
      <c r="G9" s="64">
        <v>693</v>
      </c>
      <c r="H9" s="64">
        <v>764</v>
      </c>
      <c r="I9" s="64">
        <v>745</v>
      </c>
      <c r="J9" s="64">
        <v>811</v>
      </c>
      <c r="K9" s="64">
        <v>960</v>
      </c>
      <c r="L9" s="64">
        <v>1367</v>
      </c>
      <c r="M9" s="64">
        <v>1427</v>
      </c>
      <c r="N9" s="64">
        <v>1636</v>
      </c>
    </row>
    <row r="10" spans="2:14" x14ac:dyDescent="0.3">
      <c r="B10" t="s">
        <v>141</v>
      </c>
      <c r="C10" s="64">
        <v>8</v>
      </c>
      <c r="D10" s="64">
        <v>20</v>
      </c>
      <c r="E10" s="64">
        <v>15</v>
      </c>
      <c r="F10" s="64">
        <v>13</v>
      </c>
      <c r="G10" s="64">
        <v>11</v>
      </c>
      <c r="H10" s="64">
        <v>15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</row>
    <row r="11" spans="2:14" x14ac:dyDescent="0.3">
      <c r="B11" s="1" t="s">
        <v>142</v>
      </c>
      <c r="C11" s="64">
        <v>3754</v>
      </c>
      <c r="D11" s="64">
        <v>3711</v>
      </c>
      <c r="E11" s="64">
        <v>4241</v>
      </c>
      <c r="F11" s="64">
        <v>4820</v>
      </c>
      <c r="G11" s="64">
        <v>5459</v>
      </c>
      <c r="H11" s="64">
        <v>4889</v>
      </c>
      <c r="I11" s="64">
        <v>6456</v>
      </c>
      <c r="J11" s="64">
        <v>7560</v>
      </c>
      <c r="K11" s="64">
        <v>7854</v>
      </c>
      <c r="L11" s="64">
        <v>8698</v>
      </c>
      <c r="M11" s="64">
        <v>8665</v>
      </c>
      <c r="N11" s="64">
        <v>9218</v>
      </c>
    </row>
    <row r="12" spans="2:14" x14ac:dyDescent="0.3">
      <c r="B12" t="s">
        <v>143</v>
      </c>
      <c r="C12" s="64">
        <v>264</v>
      </c>
      <c r="D12" s="64">
        <v>384</v>
      </c>
      <c r="E12" s="64">
        <v>375</v>
      </c>
      <c r="F12" s="64">
        <v>328</v>
      </c>
      <c r="G12" s="64">
        <v>361</v>
      </c>
      <c r="H12" s="64">
        <v>404</v>
      </c>
      <c r="I12" s="64">
        <v>423</v>
      </c>
      <c r="J12" s="64">
        <v>388</v>
      </c>
      <c r="K12" s="64">
        <v>454</v>
      </c>
      <c r="L12" s="64">
        <v>695</v>
      </c>
      <c r="M12" s="64">
        <v>659</v>
      </c>
      <c r="N12" s="64">
        <v>643</v>
      </c>
    </row>
    <row r="13" spans="2:14" x14ac:dyDescent="0.3">
      <c r="B13" t="s">
        <v>144</v>
      </c>
      <c r="C13" s="64">
        <v>1549</v>
      </c>
      <c r="D13" s="64">
        <v>1565</v>
      </c>
      <c r="E13" s="64">
        <v>1923</v>
      </c>
      <c r="F13" s="64">
        <v>2160</v>
      </c>
      <c r="G13" s="64">
        <v>2394</v>
      </c>
      <c r="H13" s="64">
        <v>2137</v>
      </c>
      <c r="I13" s="64">
        <v>3379</v>
      </c>
      <c r="J13" s="64">
        <v>4164</v>
      </c>
      <c r="K13" s="64">
        <v>3635</v>
      </c>
      <c r="L13" s="64">
        <v>3831</v>
      </c>
      <c r="M13" s="64">
        <v>3848</v>
      </c>
      <c r="N13" s="64">
        <v>3863</v>
      </c>
    </row>
    <row r="14" spans="2:14" x14ac:dyDescent="0.3">
      <c r="B14" t="s">
        <v>145</v>
      </c>
      <c r="C14" s="64">
        <v>5</v>
      </c>
      <c r="D14" s="64">
        <v>12</v>
      </c>
      <c r="E14" s="64">
        <v>17</v>
      </c>
      <c r="F14" s="64">
        <v>16</v>
      </c>
      <c r="G14" s="64">
        <v>13</v>
      </c>
      <c r="H14" s="64">
        <v>29</v>
      </c>
      <c r="I14" s="64">
        <v>41</v>
      </c>
      <c r="J14" s="64">
        <v>76</v>
      </c>
      <c r="K14" s="64">
        <v>108</v>
      </c>
      <c r="L14" s="64">
        <v>154</v>
      </c>
      <c r="M14" s="64">
        <v>174</v>
      </c>
      <c r="N14" s="64">
        <v>107</v>
      </c>
    </row>
    <row r="15" spans="2:14" x14ac:dyDescent="0.3">
      <c r="B15" t="s">
        <v>146</v>
      </c>
      <c r="C15" s="65">
        <v>1937</v>
      </c>
      <c r="D15" s="65">
        <v>1750</v>
      </c>
      <c r="E15" s="65">
        <v>1925</v>
      </c>
      <c r="F15" s="65">
        <v>2316</v>
      </c>
      <c r="G15" s="65">
        <v>2690</v>
      </c>
      <c r="H15" s="65">
        <v>2320</v>
      </c>
      <c r="I15" s="65">
        <v>2613</v>
      </c>
      <c r="J15" s="65">
        <v>2932</v>
      </c>
      <c r="K15" s="65">
        <v>3657</v>
      </c>
      <c r="L15" s="65">
        <v>4017</v>
      </c>
      <c r="M15" s="65">
        <v>3984</v>
      </c>
      <c r="N15" s="65">
        <v>4604</v>
      </c>
    </row>
    <row r="16" spans="2:14" x14ac:dyDescent="0.3">
      <c r="B16" s="62" t="s">
        <v>82</v>
      </c>
      <c r="C16" s="62">
        <v>8914</v>
      </c>
      <c r="D16" s="62">
        <v>10559</v>
      </c>
      <c r="E16" s="62">
        <v>12405</v>
      </c>
      <c r="F16" s="62">
        <v>13763</v>
      </c>
      <c r="G16" s="62">
        <v>16249</v>
      </c>
      <c r="H16" s="62">
        <v>16138</v>
      </c>
      <c r="I16" s="62">
        <v>20355</v>
      </c>
      <c r="J16" s="62">
        <v>22958</v>
      </c>
      <c r="K16" s="62">
        <v>25779</v>
      </c>
      <c r="L16" s="62">
        <v>29901</v>
      </c>
      <c r="M16" s="62">
        <v>30355</v>
      </c>
      <c r="N16" s="62">
        <v>34519</v>
      </c>
    </row>
    <row r="17" spans="2:14" x14ac:dyDescent="0.3"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</row>
    <row r="18" spans="2:14" x14ac:dyDescent="0.3">
      <c r="B18" s="1" t="s">
        <v>147</v>
      </c>
      <c r="C18" s="61">
        <v>2660</v>
      </c>
      <c r="D18" s="61">
        <v>3416</v>
      </c>
      <c r="E18" s="61">
        <v>3304</v>
      </c>
      <c r="F18" s="61">
        <v>3732</v>
      </c>
      <c r="G18" s="61">
        <v>6497</v>
      </c>
      <c r="H18" s="61">
        <v>6272</v>
      </c>
      <c r="I18" s="61">
        <v>5859</v>
      </c>
      <c r="J18" s="61">
        <v>5519</v>
      </c>
      <c r="K18" s="61">
        <v>5770</v>
      </c>
      <c r="L18" s="61">
        <v>7147</v>
      </c>
      <c r="M18" s="61">
        <v>9220</v>
      </c>
      <c r="N18" s="61">
        <v>9640</v>
      </c>
    </row>
    <row r="19" spans="2:14" x14ac:dyDescent="0.3">
      <c r="B19" t="s">
        <v>148</v>
      </c>
      <c r="C19" s="64">
        <v>251</v>
      </c>
      <c r="D19" s="64">
        <v>429</v>
      </c>
      <c r="E19" s="64">
        <v>408</v>
      </c>
      <c r="F19" s="64">
        <v>586</v>
      </c>
      <c r="G19" s="64">
        <v>605</v>
      </c>
      <c r="H19" s="64">
        <v>640</v>
      </c>
      <c r="I19" s="64">
        <v>644</v>
      </c>
      <c r="J19" s="64">
        <v>644</v>
      </c>
      <c r="K19" s="64">
        <v>804</v>
      </c>
      <c r="L19" s="64">
        <v>1126</v>
      </c>
      <c r="M19" s="64">
        <v>1035</v>
      </c>
      <c r="N19" s="64">
        <v>1204</v>
      </c>
    </row>
    <row r="20" spans="2:14" x14ac:dyDescent="0.3">
      <c r="B20" t="s">
        <v>149</v>
      </c>
      <c r="C20" s="64">
        <v>962</v>
      </c>
      <c r="D20" s="64">
        <v>923</v>
      </c>
      <c r="E20" s="64">
        <v>931</v>
      </c>
      <c r="F20" s="64">
        <v>957</v>
      </c>
      <c r="G20" s="64">
        <v>2402</v>
      </c>
      <c r="H20" s="64">
        <v>2257</v>
      </c>
      <c r="I20" s="64">
        <v>2249</v>
      </c>
      <c r="J20" s="64">
        <v>2325</v>
      </c>
      <c r="K20" s="64">
        <v>2883</v>
      </c>
      <c r="L20" s="64">
        <v>3390</v>
      </c>
      <c r="M20" s="64">
        <v>3771</v>
      </c>
      <c r="N20" s="64">
        <v>4124</v>
      </c>
    </row>
    <row r="21" spans="2:14" x14ac:dyDescent="0.3">
      <c r="B21" t="s">
        <v>150</v>
      </c>
      <c r="C21" s="64">
        <v>2132</v>
      </c>
      <c r="D21" s="64">
        <v>1793</v>
      </c>
      <c r="E21" s="64">
        <v>1980</v>
      </c>
      <c r="F21" s="64">
        <v>2157</v>
      </c>
      <c r="G21" s="64">
        <v>4006</v>
      </c>
      <c r="H21" s="64">
        <v>4208</v>
      </c>
      <c r="I21" s="64">
        <v>4340</v>
      </c>
      <c r="J21" s="64">
        <v>4531</v>
      </c>
      <c r="K21" s="64">
        <v>4825</v>
      </c>
      <c r="L21" s="64">
        <v>5422</v>
      </c>
      <c r="M21" s="64">
        <v>7576</v>
      </c>
      <c r="N21" s="64">
        <v>8210</v>
      </c>
    </row>
    <row r="22" spans="2:14" x14ac:dyDescent="0.3">
      <c r="B22" t="s">
        <v>151</v>
      </c>
      <c r="C22" s="64">
        <v>171</v>
      </c>
      <c r="D22" s="64">
        <v>97</v>
      </c>
      <c r="E22" s="64">
        <v>119</v>
      </c>
      <c r="F22" s="64">
        <v>200</v>
      </c>
      <c r="G22" s="64">
        <v>221</v>
      </c>
      <c r="H22" s="64">
        <v>241</v>
      </c>
      <c r="I22" s="64">
        <v>243</v>
      </c>
      <c r="J22" s="64">
        <v>253</v>
      </c>
      <c r="K22" s="64">
        <v>270</v>
      </c>
      <c r="L22" s="64">
        <v>298</v>
      </c>
      <c r="M22" s="64">
        <v>325</v>
      </c>
      <c r="N22" s="64">
        <v>351</v>
      </c>
    </row>
    <row r="23" spans="2:14" x14ac:dyDescent="0.3">
      <c r="B23" t="s">
        <v>152</v>
      </c>
      <c r="C23" s="64">
        <v>83</v>
      </c>
      <c r="D23" s="64">
        <v>49</v>
      </c>
      <c r="E23" s="64">
        <v>59</v>
      </c>
      <c r="F23" s="64">
        <v>72</v>
      </c>
      <c r="G23" s="64">
        <v>88</v>
      </c>
      <c r="H23" s="64">
        <v>94</v>
      </c>
      <c r="I23" s="64">
        <v>99</v>
      </c>
      <c r="J23" s="64">
        <v>113</v>
      </c>
      <c r="K23" s="64">
        <v>146</v>
      </c>
      <c r="L23" s="64">
        <v>175</v>
      </c>
      <c r="M23" s="64">
        <v>203</v>
      </c>
      <c r="N23" s="64">
        <v>216</v>
      </c>
    </row>
    <row r="24" spans="2:14" x14ac:dyDescent="0.3">
      <c r="B24" t="s">
        <v>153</v>
      </c>
      <c r="C24" s="64">
        <v>18</v>
      </c>
      <c r="D24" s="64">
        <v>11</v>
      </c>
      <c r="E24" s="64">
        <v>14</v>
      </c>
      <c r="F24" s="64">
        <v>27</v>
      </c>
      <c r="G24" s="64">
        <v>47</v>
      </c>
      <c r="H24" s="64">
        <v>43</v>
      </c>
      <c r="I24" s="64">
        <v>38</v>
      </c>
      <c r="J24" s="64">
        <v>32</v>
      </c>
      <c r="K24" s="64">
        <v>36</v>
      </c>
      <c r="L24" s="64">
        <v>40</v>
      </c>
      <c r="M24" s="64">
        <v>34</v>
      </c>
      <c r="N24" s="64">
        <v>45</v>
      </c>
    </row>
    <row r="25" spans="2:14" x14ac:dyDescent="0.3">
      <c r="B25" t="s">
        <v>154</v>
      </c>
      <c r="C25" s="64">
        <v>351</v>
      </c>
      <c r="D25" s="64">
        <v>339</v>
      </c>
      <c r="E25" s="64">
        <v>276</v>
      </c>
      <c r="F25" s="64">
        <v>468</v>
      </c>
      <c r="G25" s="64">
        <v>512</v>
      </c>
      <c r="H25" s="64">
        <v>505</v>
      </c>
      <c r="I25" s="64">
        <v>476</v>
      </c>
      <c r="J25" s="64">
        <v>345</v>
      </c>
      <c r="K25" s="64">
        <v>422</v>
      </c>
      <c r="L25" s="64">
        <v>850</v>
      </c>
      <c r="M25" s="64">
        <v>827</v>
      </c>
      <c r="N25" s="64">
        <v>833</v>
      </c>
    </row>
    <row r="26" spans="2:14" x14ac:dyDescent="0.3">
      <c r="B26" t="s">
        <v>155</v>
      </c>
      <c r="C26" s="64">
        <v>145</v>
      </c>
      <c r="D26" s="64">
        <v>103</v>
      </c>
      <c r="E26" s="64">
        <v>128</v>
      </c>
      <c r="F26" s="64">
        <v>238</v>
      </c>
      <c r="G26" s="64">
        <v>261</v>
      </c>
      <c r="H26" s="64">
        <v>293</v>
      </c>
      <c r="I26" s="64">
        <v>302</v>
      </c>
      <c r="J26" s="64">
        <v>294</v>
      </c>
      <c r="K26" s="64">
        <v>289</v>
      </c>
      <c r="L26" s="64">
        <v>321</v>
      </c>
      <c r="M26" s="64">
        <v>328</v>
      </c>
      <c r="N26" s="64">
        <v>335</v>
      </c>
    </row>
    <row r="27" spans="2:14" x14ac:dyDescent="0.3">
      <c r="B27" s="1" t="s">
        <v>156</v>
      </c>
      <c r="C27" s="66">
        <v>4112</v>
      </c>
      <c r="D27" s="66">
        <v>3744</v>
      </c>
      <c r="E27" s="66">
        <v>3914</v>
      </c>
      <c r="F27" s="66">
        <v>4705</v>
      </c>
      <c r="G27" s="66">
        <v>8141</v>
      </c>
      <c r="H27" s="66">
        <v>8282</v>
      </c>
      <c r="I27" s="66">
        <v>8392</v>
      </c>
      <c r="J27" s="66">
        <v>8538</v>
      </c>
      <c r="K27" s="66">
        <v>9676</v>
      </c>
      <c r="L27" s="66">
        <v>11622</v>
      </c>
      <c r="M27" s="66">
        <v>14099</v>
      </c>
      <c r="N27" s="66">
        <v>15316</v>
      </c>
    </row>
    <row r="28" spans="2:14" x14ac:dyDescent="0.3">
      <c r="B28" s="1" t="s">
        <v>157</v>
      </c>
      <c r="C28" s="65">
        <v>1452</v>
      </c>
      <c r="D28" s="65">
        <v>327</v>
      </c>
      <c r="E28" s="65">
        <v>610</v>
      </c>
      <c r="F28" s="65">
        <v>973</v>
      </c>
      <c r="G28" s="65">
        <v>1644</v>
      </c>
      <c r="H28" s="65">
        <v>2010</v>
      </c>
      <c r="I28" s="65">
        <v>2533</v>
      </c>
      <c r="J28" s="65">
        <v>3019</v>
      </c>
      <c r="K28" s="65">
        <v>3905</v>
      </c>
      <c r="L28" s="65">
        <v>4475</v>
      </c>
      <c r="M28" s="65">
        <v>4879</v>
      </c>
      <c r="N28" s="65">
        <v>5676</v>
      </c>
    </row>
    <row r="29" spans="2:14" x14ac:dyDescent="0.3"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</row>
    <row r="30" spans="2:14" x14ac:dyDescent="0.3">
      <c r="B30" s="1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  <row r="31" spans="2:14" x14ac:dyDescent="0.3">
      <c r="B31" s="1" t="s">
        <v>158</v>
      </c>
      <c r="C31" s="64">
        <v>196</v>
      </c>
      <c r="D31" s="64">
        <v>107</v>
      </c>
      <c r="E31" s="64">
        <v>258</v>
      </c>
      <c r="F31" s="64">
        <v>1405</v>
      </c>
      <c r="G31" s="64">
        <v>210</v>
      </c>
      <c r="H31" s="64">
        <v>140</v>
      </c>
      <c r="I31" s="64">
        <v>183</v>
      </c>
      <c r="J31" s="64">
        <v>426</v>
      </c>
      <c r="K31" s="64">
        <v>1020</v>
      </c>
      <c r="L31" s="64">
        <v>2698</v>
      </c>
      <c r="M31" s="64">
        <v>1254</v>
      </c>
      <c r="N31" s="64">
        <v>1849</v>
      </c>
    </row>
    <row r="32" spans="2:14" x14ac:dyDescent="0.3">
      <c r="B32" s="1" t="s">
        <v>85</v>
      </c>
      <c r="C32" s="64">
        <v>1588</v>
      </c>
      <c r="D32" s="64">
        <v>2712</v>
      </c>
      <c r="E32" s="64">
        <v>2652</v>
      </c>
      <c r="F32" s="64">
        <v>2141</v>
      </c>
      <c r="G32" s="64">
        <v>2569</v>
      </c>
      <c r="H32" s="64">
        <v>2019</v>
      </c>
      <c r="I32" s="64">
        <v>4737</v>
      </c>
      <c r="J32" s="64">
        <v>3248</v>
      </c>
      <c r="K32" s="64">
        <v>4262</v>
      </c>
      <c r="L32" s="64">
        <v>4588</v>
      </c>
      <c r="M32" s="64">
        <v>4725</v>
      </c>
      <c r="N32" s="64">
        <v>7062</v>
      </c>
    </row>
    <row r="33" spans="2:28" x14ac:dyDescent="0.3">
      <c r="B33" s="1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</row>
    <row r="34" spans="2:28" x14ac:dyDescent="0.3">
      <c r="B34" s="1" t="s">
        <v>159</v>
      </c>
      <c r="C34" s="65">
        <v>4471</v>
      </c>
      <c r="D34" s="65">
        <v>4324</v>
      </c>
      <c r="E34" s="65">
        <v>6192</v>
      </c>
      <c r="F34" s="65">
        <v>6485</v>
      </c>
      <c r="G34" s="65">
        <v>6974</v>
      </c>
      <c r="H34" s="65">
        <v>7707</v>
      </c>
      <c r="I34" s="65">
        <v>9577</v>
      </c>
      <c r="J34" s="65">
        <v>13765</v>
      </c>
      <c r="K34" s="65">
        <v>14728</v>
      </c>
      <c r="L34" s="65">
        <v>15468</v>
      </c>
      <c r="M34" s="65">
        <v>15156</v>
      </c>
      <c r="N34" s="65">
        <v>15968</v>
      </c>
    </row>
    <row r="35" spans="2:28" x14ac:dyDescent="0.3">
      <c r="B35" t="s">
        <v>160</v>
      </c>
      <c r="C35" s="64">
        <v>2259</v>
      </c>
      <c r="D35" s="64">
        <v>1998</v>
      </c>
      <c r="E35" s="64">
        <v>2627</v>
      </c>
      <c r="F35" s="64">
        <v>2658</v>
      </c>
      <c r="G35" s="64">
        <v>3150</v>
      </c>
      <c r="H35" s="64">
        <v>3390</v>
      </c>
      <c r="I35" s="64">
        <v>3799</v>
      </c>
      <c r="J35" s="64">
        <v>6153</v>
      </c>
      <c r="K35" s="64">
        <v>6211</v>
      </c>
      <c r="L35" s="64">
        <v>5923</v>
      </c>
      <c r="M35" s="64">
        <v>6719</v>
      </c>
      <c r="N35" s="64">
        <v>5744</v>
      </c>
    </row>
    <row r="36" spans="2:28" x14ac:dyDescent="0.3">
      <c r="B36" t="s">
        <v>205</v>
      </c>
      <c r="C36" s="64">
        <v>1182</v>
      </c>
      <c r="D36" s="64">
        <v>1187</v>
      </c>
      <c r="E36" s="64">
        <v>1447</v>
      </c>
      <c r="F36" s="64">
        <v>1731</v>
      </c>
      <c r="G36" s="64">
        <v>1907</v>
      </c>
      <c r="H36" s="64">
        <v>1795</v>
      </c>
      <c r="I36" s="64">
        <v>2602</v>
      </c>
      <c r="J36" s="64">
        <v>3871</v>
      </c>
      <c r="K36" s="64">
        <v>4637</v>
      </c>
      <c r="L36" s="64">
        <v>4889</v>
      </c>
      <c r="M36" s="64">
        <v>4314</v>
      </c>
      <c r="N36" s="64">
        <v>4462</v>
      </c>
    </row>
    <row r="37" spans="2:28" x14ac:dyDescent="0.3">
      <c r="B37" t="s">
        <v>161</v>
      </c>
      <c r="C37" s="64">
        <v>204</v>
      </c>
      <c r="D37" s="64">
        <v>424</v>
      </c>
      <c r="E37" s="64">
        <v>801</v>
      </c>
      <c r="F37" s="64">
        <v>405</v>
      </c>
      <c r="G37" s="64">
        <v>445</v>
      </c>
      <c r="H37" s="64">
        <v>783</v>
      </c>
      <c r="I37" s="64">
        <v>611</v>
      </c>
      <c r="J37" s="64">
        <v>864</v>
      </c>
      <c r="K37" s="64">
        <v>844</v>
      </c>
      <c r="L37" s="64">
        <v>1084</v>
      </c>
      <c r="M37" s="64">
        <v>782</v>
      </c>
      <c r="N37" s="64">
        <v>1074</v>
      </c>
    </row>
    <row r="38" spans="2:28" x14ac:dyDescent="0.3">
      <c r="B38" t="s">
        <v>162</v>
      </c>
      <c r="C38" s="64">
        <v>8</v>
      </c>
      <c r="D38" s="64">
        <v>9</v>
      </c>
      <c r="E38" s="64">
        <v>14</v>
      </c>
      <c r="F38" s="64">
        <v>13</v>
      </c>
      <c r="G38" s="64">
        <v>16</v>
      </c>
      <c r="H38" s="64">
        <v>12</v>
      </c>
      <c r="I38" s="64">
        <v>11</v>
      </c>
      <c r="J38" s="64">
        <v>8</v>
      </c>
      <c r="K38" s="64">
        <v>12</v>
      </c>
      <c r="L38" s="64">
        <v>17</v>
      </c>
      <c r="M38" s="64">
        <v>22</v>
      </c>
      <c r="N38" s="64">
        <v>27</v>
      </c>
    </row>
    <row r="39" spans="2:28" x14ac:dyDescent="0.3">
      <c r="B39" t="s">
        <v>163</v>
      </c>
      <c r="C39" s="69">
        <v>817</v>
      </c>
      <c r="D39" s="69">
        <v>705</v>
      </c>
      <c r="E39" s="69">
        <v>1303</v>
      </c>
      <c r="F39" s="69">
        <v>1678</v>
      </c>
      <c r="G39" s="69">
        <v>1456</v>
      </c>
      <c r="H39" s="69">
        <v>1727</v>
      </c>
      <c r="I39" s="69">
        <v>2555</v>
      </c>
      <c r="J39" s="69">
        <v>2869</v>
      </c>
      <c r="K39" s="69">
        <v>3024</v>
      </c>
      <c r="L39" s="69">
        <v>3555</v>
      </c>
      <c r="M39" s="69">
        <v>3319</v>
      </c>
      <c r="N39" s="69">
        <v>4662</v>
      </c>
    </row>
    <row r="40" spans="2:28" x14ac:dyDescent="0.3">
      <c r="B40" s="62" t="s">
        <v>92</v>
      </c>
      <c r="C40" s="70">
        <v>8914</v>
      </c>
      <c r="D40" s="70">
        <v>10559</v>
      </c>
      <c r="E40" s="70">
        <v>12405</v>
      </c>
      <c r="F40" s="70">
        <v>13763</v>
      </c>
      <c r="G40" s="70">
        <v>16249</v>
      </c>
      <c r="H40" s="70">
        <v>16138</v>
      </c>
      <c r="I40" s="70">
        <v>20355</v>
      </c>
      <c r="J40" s="70">
        <v>22958</v>
      </c>
      <c r="K40" s="70">
        <v>25779</v>
      </c>
      <c r="L40" s="70">
        <v>29901</v>
      </c>
      <c r="M40" s="70">
        <v>30355</v>
      </c>
      <c r="N40" s="70">
        <v>34519</v>
      </c>
    </row>
    <row r="43" spans="2:28" x14ac:dyDescent="0.3">
      <c r="B43" s="103" t="s">
        <v>245</v>
      </c>
      <c r="C43" s="109">
        <v>42064</v>
      </c>
      <c r="D43" s="109">
        <v>42430</v>
      </c>
      <c r="E43" s="109">
        <v>42795</v>
      </c>
      <c r="F43" s="109">
        <v>43160</v>
      </c>
      <c r="G43" s="109">
        <v>43525</v>
      </c>
      <c r="H43" s="109">
        <v>43891</v>
      </c>
      <c r="I43" s="109">
        <v>44256</v>
      </c>
      <c r="J43" s="109">
        <v>44621</v>
      </c>
      <c r="K43" s="109">
        <v>44986</v>
      </c>
      <c r="L43" s="109">
        <v>45352</v>
      </c>
      <c r="M43" s="109">
        <v>45717</v>
      </c>
      <c r="N43" s="109">
        <v>46082</v>
      </c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 spans="2:28" x14ac:dyDescent="0.3">
      <c r="B44" t="s">
        <v>206</v>
      </c>
      <c r="C44" s="61">
        <v>1188</v>
      </c>
      <c r="D44" s="61">
        <v>2243</v>
      </c>
      <c r="E44" s="61">
        <v>1527</v>
      </c>
      <c r="F44" s="61">
        <v>2113</v>
      </c>
      <c r="G44" s="61">
        <v>2470</v>
      </c>
      <c r="H44" s="61">
        <v>3038</v>
      </c>
      <c r="I44" s="61">
        <v>3683</v>
      </c>
      <c r="J44">
        <v>986</v>
      </c>
      <c r="K44" s="61">
        <v>4193</v>
      </c>
      <c r="L44" s="61">
        <v>6104</v>
      </c>
      <c r="M44" s="61">
        <v>4424</v>
      </c>
      <c r="N44" s="61">
        <v>7088</v>
      </c>
      <c r="Q44" s="61"/>
      <c r="R44" s="61"/>
      <c r="S44" s="61"/>
      <c r="T44" s="61"/>
      <c r="U44" s="61"/>
      <c r="V44" s="61"/>
      <c r="W44" s="61"/>
      <c r="Y44" s="61"/>
      <c r="Z44" s="61"/>
      <c r="AA44" s="61"/>
      <c r="AB44" s="61"/>
    </row>
    <row r="45" spans="2:28" x14ac:dyDescent="0.3">
      <c r="B45" t="s">
        <v>176</v>
      </c>
      <c r="C45" s="61">
        <v>2271</v>
      </c>
      <c r="D45" s="61">
        <v>2848</v>
      </c>
      <c r="E45" s="61">
        <v>3056</v>
      </c>
      <c r="F45" s="61">
        <v>3274</v>
      </c>
      <c r="G45" s="61">
        <v>3861</v>
      </c>
      <c r="H45" s="61">
        <v>4380</v>
      </c>
      <c r="I45" s="61">
        <v>4970</v>
      </c>
      <c r="J45" s="61">
        <v>4957</v>
      </c>
      <c r="K45" s="61">
        <v>6460</v>
      </c>
      <c r="L45" s="61">
        <v>7929</v>
      </c>
      <c r="M45" s="61">
        <v>6390</v>
      </c>
      <c r="N45" s="61">
        <v>7186</v>
      </c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</row>
    <row r="46" spans="2:28" x14ac:dyDescent="0.3">
      <c r="B46" t="s">
        <v>88</v>
      </c>
      <c r="C46">
        <v>-155</v>
      </c>
      <c r="D46">
        <v>-146</v>
      </c>
      <c r="E46">
        <v>-475</v>
      </c>
      <c r="F46">
        <v>-483</v>
      </c>
      <c r="G46">
        <v>-205</v>
      </c>
      <c r="H46">
        <v>160</v>
      </c>
      <c r="I46">
        <v>-849</v>
      </c>
      <c r="J46" s="61">
        <v>-1326</v>
      </c>
      <c r="K46">
        <v>-834</v>
      </c>
      <c r="L46">
        <v>-362</v>
      </c>
      <c r="M46">
        <v>282</v>
      </c>
      <c r="N46">
        <v>-274</v>
      </c>
      <c r="X46" s="61"/>
    </row>
    <row r="47" spans="2:28" x14ac:dyDescent="0.3">
      <c r="B47" t="s">
        <v>89</v>
      </c>
      <c r="C47">
        <v>-144</v>
      </c>
      <c r="D47">
        <v>202</v>
      </c>
      <c r="E47">
        <v>-629</v>
      </c>
      <c r="F47">
        <v>-39</v>
      </c>
      <c r="G47">
        <v>-492</v>
      </c>
      <c r="H47">
        <v>-251</v>
      </c>
      <c r="I47">
        <v>-409</v>
      </c>
      <c r="J47" s="61">
        <v>-2354</v>
      </c>
      <c r="K47">
        <v>-56</v>
      </c>
      <c r="L47">
        <v>315</v>
      </c>
      <c r="M47">
        <v>-805</v>
      </c>
      <c r="N47">
        <v>976</v>
      </c>
      <c r="X47" s="61"/>
    </row>
    <row r="48" spans="2:28" x14ac:dyDescent="0.3">
      <c r="B48" t="s">
        <v>177</v>
      </c>
      <c r="C48">
        <v>-151</v>
      </c>
      <c r="D48">
        <v>142</v>
      </c>
      <c r="E48">
        <v>501</v>
      </c>
      <c r="F48">
        <v>442</v>
      </c>
      <c r="G48">
        <v>287</v>
      </c>
      <c r="H48">
        <v>-241</v>
      </c>
      <c r="I48" s="61">
        <v>1143</v>
      </c>
      <c r="J48">
        <v>644</v>
      </c>
      <c r="K48">
        <v>-539</v>
      </c>
      <c r="L48">
        <v>269</v>
      </c>
      <c r="M48">
        <v>-160</v>
      </c>
      <c r="N48">
        <v>396</v>
      </c>
      <c r="W48" s="61"/>
    </row>
    <row r="49" spans="2:28" x14ac:dyDescent="0.3">
      <c r="B49" t="s">
        <v>178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-92</v>
      </c>
      <c r="J49">
        <v>242</v>
      </c>
      <c r="K49">
        <v>657</v>
      </c>
      <c r="L49">
        <v>-212</v>
      </c>
      <c r="M49">
        <v>114</v>
      </c>
      <c r="N49">
        <v>378</v>
      </c>
    </row>
    <row r="50" spans="2:28" x14ac:dyDescent="0.3">
      <c r="B50" t="s">
        <v>179</v>
      </c>
      <c r="C50">
        <v>-450</v>
      </c>
      <c r="D50">
        <v>198</v>
      </c>
      <c r="E50">
        <v>-603</v>
      </c>
      <c r="F50">
        <v>-80</v>
      </c>
      <c r="G50">
        <v>-410</v>
      </c>
      <c r="H50">
        <v>-331</v>
      </c>
      <c r="I50">
        <v>-206</v>
      </c>
      <c r="J50" s="61">
        <v>-2795</v>
      </c>
      <c r="K50">
        <v>-772</v>
      </c>
      <c r="L50">
        <v>10</v>
      </c>
      <c r="M50">
        <v>-570</v>
      </c>
      <c r="N50" s="61">
        <v>1476</v>
      </c>
      <c r="X50" s="61"/>
      <c r="AB50" s="61"/>
    </row>
    <row r="51" spans="2:28" x14ac:dyDescent="0.3">
      <c r="B51" t="s">
        <v>180</v>
      </c>
      <c r="C51">
        <v>-633</v>
      </c>
      <c r="D51">
        <v>-802</v>
      </c>
      <c r="E51">
        <v>-925</v>
      </c>
      <c r="F51" s="61">
        <v>-1081</v>
      </c>
      <c r="G51">
        <v>-982</v>
      </c>
      <c r="H51" s="61">
        <v>-1011</v>
      </c>
      <c r="I51" s="61">
        <v>-1080</v>
      </c>
      <c r="J51" s="61">
        <v>-1176</v>
      </c>
      <c r="K51" s="61">
        <v>-1494</v>
      </c>
      <c r="L51" s="61">
        <v>-1835</v>
      </c>
      <c r="M51" s="61">
        <v>-1396</v>
      </c>
      <c r="N51" s="61">
        <v>-1574</v>
      </c>
      <c r="T51" s="61"/>
      <c r="V51" s="61"/>
      <c r="W51" s="61"/>
      <c r="X51" s="61"/>
      <c r="Y51" s="61"/>
      <c r="Z51" s="61"/>
      <c r="AA51" s="61"/>
      <c r="AB51" s="61"/>
    </row>
    <row r="53" spans="2:28" x14ac:dyDescent="0.3">
      <c r="B53" t="s">
        <v>207</v>
      </c>
      <c r="C53">
        <v>-465</v>
      </c>
      <c r="D53">
        <v>-866</v>
      </c>
      <c r="E53">
        <v>-681</v>
      </c>
      <c r="F53" s="61">
        <v>-1556</v>
      </c>
      <c r="G53">
        <v>-918</v>
      </c>
      <c r="H53">
        <v>-518</v>
      </c>
      <c r="I53">
        <v>-541</v>
      </c>
      <c r="J53">
        <v>-317</v>
      </c>
      <c r="K53" s="61">
        <v>-1282</v>
      </c>
      <c r="L53" s="61">
        <v>-2548</v>
      </c>
      <c r="M53">
        <v>-941</v>
      </c>
      <c r="N53" s="61">
        <v>-1328</v>
      </c>
      <c r="T53" s="61"/>
      <c r="Y53" s="61"/>
      <c r="Z53" s="61"/>
      <c r="AB53" s="61"/>
    </row>
    <row r="54" spans="2:28" x14ac:dyDescent="0.3">
      <c r="B54" t="s">
        <v>181</v>
      </c>
      <c r="C54">
        <v>-454</v>
      </c>
      <c r="D54">
        <v>-817</v>
      </c>
      <c r="E54">
        <v>-684</v>
      </c>
      <c r="F54" s="61">
        <v>-1426</v>
      </c>
      <c r="G54" s="61">
        <v>-1151</v>
      </c>
      <c r="H54">
        <v>-414</v>
      </c>
      <c r="I54">
        <v>-289</v>
      </c>
      <c r="J54">
        <v>-551</v>
      </c>
      <c r="K54" s="61">
        <v>-1446</v>
      </c>
      <c r="L54" s="61">
        <v>-2496</v>
      </c>
      <c r="M54" s="61">
        <v>-1830</v>
      </c>
      <c r="N54" s="61">
        <v>-1487</v>
      </c>
      <c r="T54" s="61"/>
      <c r="U54" s="61"/>
      <c r="Y54" s="61"/>
      <c r="Z54" s="61"/>
      <c r="AA54" s="61"/>
      <c r="AB54" s="61"/>
    </row>
    <row r="55" spans="2:28" x14ac:dyDescent="0.3">
      <c r="B55" t="s">
        <v>182</v>
      </c>
      <c r="C55">
        <v>16</v>
      </c>
      <c r="D55">
        <v>15</v>
      </c>
      <c r="E55">
        <v>17</v>
      </c>
      <c r="F55">
        <v>17</v>
      </c>
      <c r="G55">
        <v>17</v>
      </c>
      <c r="H55">
        <v>37</v>
      </c>
      <c r="I55">
        <v>28</v>
      </c>
      <c r="J55">
        <v>40</v>
      </c>
      <c r="K55">
        <v>26</v>
      </c>
      <c r="L55">
        <v>5</v>
      </c>
      <c r="M55">
        <v>10</v>
      </c>
      <c r="N55">
        <v>3</v>
      </c>
    </row>
    <row r="56" spans="2:28" x14ac:dyDescent="0.3">
      <c r="B56" t="s">
        <v>183</v>
      </c>
      <c r="C56">
        <v>-243</v>
      </c>
      <c r="D56">
        <v>-282</v>
      </c>
      <c r="E56">
        <v>-153</v>
      </c>
      <c r="F56">
        <v>-320</v>
      </c>
      <c r="G56">
        <v>-573</v>
      </c>
      <c r="H56">
        <v>-25</v>
      </c>
      <c r="I56">
        <v>-140</v>
      </c>
      <c r="J56">
        <v>0</v>
      </c>
      <c r="K56">
        <v>-146</v>
      </c>
      <c r="L56">
        <v>-212</v>
      </c>
      <c r="M56">
        <v>-1</v>
      </c>
      <c r="N56">
        <v>0</v>
      </c>
    </row>
    <row r="57" spans="2:28" x14ac:dyDescent="0.3">
      <c r="B57" t="s">
        <v>184</v>
      </c>
      <c r="C57">
        <v>278</v>
      </c>
      <c r="D57">
        <v>205</v>
      </c>
      <c r="E57">
        <v>357</v>
      </c>
      <c r="F57">
        <v>362</v>
      </c>
      <c r="G57">
        <v>733</v>
      </c>
      <c r="H57">
        <v>118</v>
      </c>
      <c r="I57">
        <v>272</v>
      </c>
      <c r="J57">
        <v>207</v>
      </c>
      <c r="K57">
        <v>446</v>
      </c>
      <c r="L57">
        <v>240</v>
      </c>
      <c r="M57">
        <v>421</v>
      </c>
      <c r="N57" s="61">
        <v>1197</v>
      </c>
      <c r="AB57" s="61"/>
    </row>
    <row r="58" spans="2:28" x14ac:dyDescent="0.3">
      <c r="B58" t="s">
        <v>185</v>
      </c>
      <c r="C58">
        <v>11</v>
      </c>
      <c r="D58">
        <v>15</v>
      </c>
      <c r="E58">
        <v>32</v>
      </c>
      <c r="F58">
        <v>39</v>
      </c>
      <c r="G58">
        <v>40</v>
      </c>
      <c r="H58">
        <v>65</v>
      </c>
      <c r="I58">
        <v>73</v>
      </c>
      <c r="J58">
        <v>77</v>
      </c>
      <c r="K58">
        <v>87</v>
      </c>
      <c r="L58">
        <v>135</v>
      </c>
      <c r="M58">
        <v>155</v>
      </c>
      <c r="N58">
        <v>153</v>
      </c>
    </row>
    <row r="59" spans="2:28" x14ac:dyDescent="0.3">
      <c r="B59" t="s">
        <v>186</v>
      </c>
      <c r="C59">
        <v>71</v>
      </c>
      <c r="D59">
        <v>69</v>
      </c>
      <c r="E59">
        <v>74</v>
      </c>
      <c r="F59">
        <v>38</v>
      </c>
      <c r="G59">
        <v>40</v>
      </c>
      <c r="H59">
        <v>27</v>
      </c>
      <c r="I59">
        <v>8</v>
      </c>
      <c r="J59">
        <v>15</v>
      </c>
      <c r="K59">
        <v>56</v>
      </c>
      <c r="L59">
        <v>129</v>
      </c>
      <c r="M59">
        <v>136</v>
      </c>
      <c r="N59">
        <v>118</v>
      </c>
    </row>
    <row r="60" spans="2:28" x14ac:dyDescent="0.3">
      <c r="B60" t="s">
        <v>187</v>
      </c>
      <c r="C60">
        <v>0</v>
      </c>
      <c r="D60">
        <v>0</v>
      </c>
      <c r="E60">
        <v>0</v>
      </c>
      <c r="F60">
        <v>141</v>
      </c>
      <c r="G60">
        <v>0</v>
      </c>
      <c r="H60">
        <v>17</v>
      </c>
      <c r="I60">
        <v>0</v>
      </c>
      <c r="J60">
        <v>0</v>
      </c>
      <c r="K60">
        <v>0</v>
      </c>
      <c r="L60">
        <v>0</v>
      </c>
      <c r="M60">
        <v>38</v>
      </c>
      <c r="N60">
        <v>0</v>
      </c>
    </row>
    <row r="61" spans="2:28" x14ac:dyDescent="0.3">
      <c r="B61" t="s">
        <v>188</v>
      </c>
      <c r="C61">
        <v>0</v>
      </c>
      <c r="D61">
        <v>0</v>
      </c>
      <c r="E61">
        <v>0</v>
      </c>
      <c r="F61">
        <v>-525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2:28" x14ac:dyDescent="0.3">
      <c r="B62" t="s">
        <v>189</v>
      </c>
      <c r="C62">
        <v>-144</v>
      </c>
      <c r="D62">
        <v>-70</v>
      </c>
      <c r="E62">
        <v>-324</v>
      </c>
      <c r="F62">
        <v>118</v>
      </c>
      <c r="G62">
        <v>-24</v>
      </c>
      <c r="H62">
        <v>-343</v>
      </c>
      <c r="I62">
        <v>-493</v>
      </c>
      <c r="J62">
        <v>-105</v>
      </c>
      <c r="K62">
        <v>-126</v>
      </c>
      <c r="L62">
        <v>-350</v>
      </c>
      <c r="M62">
        <v>130</v>
      </c>
      <c r="N62" s="61">
        <v>-1312</v>
      </c>
      <c r="AB62" s="61"/>
    </row>
    <row r="63" spans="2:28" x14ac:dyDescent="0.3">
      <c r="B63" t="s">
        <v>208</v>
      </c>
      <c r="C63">
        <v>-576</v>
      </c>
      <c r="D63">
        <v>-849</v>
      </c>
      <c r="E63">
        <v>-756</v>
      </c>
      <c r="F63" s="61">
        <v>-1379</v>
      </c>
      <c r="G63" s="61">
        <v>-1117</v>
      </c>
      <c r="H63" s="61">
        <v>-2871</v>
      </c>
      <c r="I63">
        <v>-650</v>
      </c>
      <c r="J63" s="61">
        <v>-1808</v>
      </c>
      <c r="K63" s="61">
        <v>-2140</v>
      </c>
      <c r="L63" s="61">
        <v>-2982</v>
      </c>
      <c r="M63" s="61">
        <v>-3753</v>
      </c>
      <c r="N63" s="61">
        <v>-2377</v>
      </c>
      <c r="T63" s="61"/>
      <c r="U63" s="61"/>
      <c r="V63" s="61"/>
      <c r="X63" s="61"/>
      <c r="Y63" s="61"/>
      <c r="Z63" s="61"/>
      <c r="AA63" s="61"/>
      <c r="AB63" s="61"/>
    </row>
    <row r="64" spans="2:28" x14ac:dyDescent="0.3">
      <c r="B64" t="s">
        <v>190</v>
      </c>
      <c r="C64">
        <v>239</v>
      </c>
      <c r="D64">
        <v>8</v>
      </c>
      <c r="E64">
        <v>271</v>
      </c>
      <c r="F64">
        <v>10</v>
      </c>
      <c r="G64">
        <v>243</v>
      </c>
      <c r="H64">
        <v>18</v>
      </c>
      <c r="I64">
        <v>155</v>
      </c>
      <c r="J64">
        <v>418</v>
      </c>
      <c r="K64">
        <v>254</v>
      </c>
      <c r="L64">
        <v>101</v>
      </c>
      <c r="M64">
        <v>415</v>
      </c>
      <c r="N64" s="61">
        <v>1279</v>
      </c>
      <c r="AB64" s="61"/>
    </row>
    <row r="65" spans="2:28" x14ac:dyDescent="0.3">
      <c r="B65" t="s">
        <v>191</v>
      </c>
      <c r="C65">
        <v>-86</v>
      </c>
      <c r="D65">
        <v>-119</v>
      </c>
      <c r="E65">
        <v>-58</v>
      </c>
      <c r="F65">
        <v>-54</v>
      </c>
      <c r="G65">
        <v>-26</v>
      </c>
      <c r="H65">
        <v>-482</v>
      </c>
      <c r="I65">
        <v>-14</v>
      </c>
      <c r="J65">
        <v>-8</v>
      </c>
      <c r="K65">
        <v>-25</v>
      </c>
      <c r="L65">
        <v>-98</v>
      </c>
      <c r="M65">
        <v>-428</v>
      </c>
      <c r="N65">
        <v>-452</v>
      </c>
    </row>
    <row r="66" spans="2:28" x14ac:dyDescent="0.3">
      <c r="B66" t="s">
        <v>192</v>
      </c>
      <c r="C66">
        <v>-35</v>
      </c>
      <c r="D66">
        <v>-40</v>
      </c>
      <c r="E66">
        <v>-36</v>
      </c>
      <c r="F66">
        <v>-35</v>
      </c>
      <c r="G66">
        <v>-106</v>
      </c>
      <c r="H66">
        <v>-101</v>
      </c>
      <c r="I66">
        <v>-89</v>
      </c>
      <c r="J66">
        <v>-94</v>
      </c>
      <c r="K66">
        <v>-142</v>
      </c>
      <c r="L66">
        <v>-191</v>
      </c>
      <c r="M66">
        <v>-203</v>
      </c>
      <c r="N66">
        <v>-228</v>
      </c>
    </row>
    <row r="67" spans="2:28" x14ac:dyDescent="0.3">
      <c r="B67" t="s">
        <v>193</v>
      </c>
      <c r="C67">
        <v>-695</v>
      </c>
      <c r="D67">
        <v>-764</v>
      </c>
      <c r="E67">
        <v>-947</v>
      </c>
      <c r="F67" s="61">
        <v>-1218</v>
      </c>
      <c r="G67" s="61">
        <v>-1049</v>
      </c>
      <c r="H67" s="61">
        <v>-2121</v>
      </c>
      <c r="I67">
        <v>-499</v>
      </c>
      <c r="J67" s="61">
        <v>-1763</v>
      </c>
      <c r="K67" s="61">
        <v>-1936</v>
      </c>
      <c r="L67" s="61">
        <v>-2551</v>
      </c>
      <c r="M67" s="61">
        <v>-3140</v>
      </c>
      <c r="N67" s="61">
        <v>-2425</v>
      </c>
      <c r="T67" s="61"/>
      <c r="U67" s="61"/>
      <c r="V67" s="61"/>
      <c r="X67" s="61"/>
      <c r="Y67" s="61"/>
      <c r="Z67" s="61"/>
      <c r="AA67" s="61"/>
      <c r="AB67" s="61"/>
    </row>
    <row r="68" spans="2:28" x14ac:dyDescent="0.3">
      <c r="B68" t="s">
        <v>194</v>
      </c>
      <c r="C68">
        <v>0</v>
      </c>
      <c r="D68">
        <v>0</v>
      </c>
      <c r="E68">
        <v>0</v>
      </c>
      <c r="F68">
        <v>0</v>
      </c>
      <c r="G68">
        <v>-180</v>
      </c>
      <c r="H68">
        <v>-179</v>
      </c>
      <c r="I68">
        <v>-203</v>
      </c>
      <c r="J68">
        <v>-221</v>
      </c>
      <c r="K68">
        <v>-256</v>
      </c>
      <c r="L68">
        <v>-286</v>
      </c>
      <c r="M68">
        <v>-325</v>
      </c>
      <c r="N68">
        <v>-340</v>
      </c>
    </row>
    <row r="69" spans="2:28" x14ac:dyDescent="0.3">
      <c r="B69" t="s">
        <v>195</v>
      </c>
      <c r="C69">
        <v>0</v>
      </c>
      <c r="D69">
        <v>66</v>
      </c>
      <c r="E69">
        <v>13</v>
      </c>
      <c r="F69">
        <v>-82</v>
      </c>
      <c r="G69">
        <v>0</v>
      </c>
      <c r="H69">
        <v>-6</v>
      </c>
      <c r="I69">
        <v>0</v>
      </c>
      <c r="J69">
        <v>-140</v>
      </c>
      <c r="K69">
        <v>-36</v>
      </c>
      <c r="L69">
        <v>41</v>
      </c>
      <c r="M69">
        <v>-72</v>
      </c>
      <c r="N69">
        <v>-210</v>
      </c>
    </row>
    <row r="70" spans="2:28" x14ac:dyDescent="0.3">
      <c r="B70" t="s">
        <v>98</v>
      </c>
      <c r="C70">
        <v>147</v>
      </c>
      <c r="D70">
        <v>528</v>
      </c>
      <c r="E70">
        <v>90</v>
      </c>
      <c r="F70">
        <v>-822</v>
      </c>
      <c r="G70">
        <v>434</v>
      </c>
      <c r="H70">
        <v>-351</v>
      </c>
      <c r="I70" s="61">
        <v>2492</v>
      </c>
      <c r="J70" s="61">
        <v>-1138</v>
      </c>
      <c r="K70">
        <v>771</v>
      </c>
      <c r="L70">
        <v>573</v>
      </c>
      <c r="M70">
        <v>-270</v>
      </c>
      <c r="N70" s="61">
        <v>3383</v>
      </c>
      <c r="W70" s="61"/>
      <c r="X70" s="61"/>
      <c r="AB70" s="61"/>
    </row>
    <row r="71" spans="2:28" x14ac:dyDescent="0.3">
      <c r="B71" t="s">
        <v>209</v>
      </c>
      <c r="C71">
        <v>750</v>
      </c>
      <c r="D71" s="61">
        <v>1441</v>
      </c>
      <c r="E71">
        <v>860</v>
      </c>
      <c r="F71">
        <v>705</v>
      </c>
      <c r="G71" s="61">
        <v>1336</v>
      </c>
      <c r="H71" s="61">
        <v>2661</v>
      </c>
      <c r="I71" s="61">
        <v>3422</v>
      </c>
      <c r="J71">
        <v>475</v>
      </c>
      <c r="K71" s="61">
        <v>2774</v>
      </c>
      <c r="L71" s="61">
        <v>3613</v>
      </c>
      <c r="M71" s="61">
        <v>2604</v>
      </c>
      <c r="N71" s="61">
        <v>5604</v>
      </c>
      <c r="R71" s="61"/>
      <c r="U71" s="61"/>
      <c r="V71" s="61"/>
      <c r="W71" s="61"/>
      <c r="Y71" s="61"/>
      <c r="Z71" s="61"/>
      <c r="AA71" s="61"/>
      <c r="AB71" s="61"/>
    </row>
    <row r="72" spans="2:28" x14ac:dyDescent="0.3">
      <c r="B72" t="s">
        <v>210</v>
      </c>
      <c r="C72" s="82">
        <v>0.81</v>
      </c>
      <c r="D72" s="82">
        <v>1.1200000000000001</v>
      </c>
      <c r="E72" s="82">
        <v>0.82</v>
      </c>
      <c r="F72" s="82">
        <v>1</v>
      </c>
      <c r="G72" s="82">
        <v>0.92</v>
      </c>
      <c r="H72" s="82">
        <v>0.97</v>
      </c>
      <c r="I72" s="82">
        <v>0.98</v>
      </c>
      <c r="J72" s="82">
        <v>0.45</v>
      </c>
      <c r="K72" s="82">
        <v>0.91</v>
      </c>
      <c r="L72" s="82">
        <v>1.05</v>
      </c>
      <c r="M72" s="82">
        <v>0.97</v>
      </c>
      <c r="N72" s="82">
        <v>1.29</v>
      </c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84B-6E43-4C29-92AC-CEA7C520B163}">
  <dimension ref="A1:L93"/>
  <sheetViews>
    <sheetView zoomScale="115" zoomScaleNormal="115" workbookViewId="0">
      <pane xSplit="1" ySplit="1" topLeftCell="B16" activePane="bottomRight" state="frozen"/>
      <selection activeCell="C4" sqref="C4"/>
      <selection pane="topRight" activeCell="C4" sqref="C4"/>
      <selection pane="bottomLeft" activeCell="C4" sqref="C4"/>
      <selection pane="bottomRight" activeCell="K34" sqref="K34"/>
    </sheetView>
  </sheetViews>
  <sheetFormatPr defaultColWidth="10.44140625" defaultRowHeight="13.2" x14ac:dyDescent="0.25"/>
  <cols>
    <col min="1" max="1" width="26" style="52" bestFit="1" customWidth="1"/>
    <col min="2" max="11" width="11.77734375" style="52" bestFit="1" customWidth="1"/>
    <col min="12" max="16384" width="10.44140625" style="52"/>
  </cols>
  <sheetData>
    <row r="1" spans="1:11" s="51" customFormat="1" x14ac:dyDescent="0.25">
      <c r="A1" s="51" t="s">
        <v>99</v>
      </c>
      <c r="B1" s="51" t="s">
        <v>100</v>
      </c>
      <c r="E1" s="141" t="str">
        <f>IF(B2&lt;&gt;B3, "A NEW VERSION OF THE WORKSHEET IS AVAILABLE", "")</f>
        <v/>
      </c>
      <c r="F1" s="141"/>
      <c r="G1" s="141"/>
      <c r="H1" s="141"/>
      <c r="I1" s="141"/>
      <c r="J1" s="141"/>
      <c r="K1" s="141"/>
    </row>
    <row r="2" spans="1:11" x14ac:dyDescent="0.25">
      <c r="A2" s="51" t="s">
        <v>101</v>
      </c>
      <c r="B2" s="52">
        <v>2.1</v>
      </c>
      <c r="E2" s="142" t="s">
        <v>102</v>
      </c>
      <c r="F2" s="142"/>
      <c r="G2" s="142"/>
      <c r="H2" s="142"/>
      <c r="I2" s="142"/>
      <c r="J2" s="142"/>
      <c r="K2" s="142"/>
    </row>
    <row r="3" spans="1:11" x14ac:dyDescent="0.25">
      <c r="A3" s="51" t="s">
        <v>103</v>
      </c>
      <c r="B3" s="52">
        <v>2.1</v>
      </c>
    </row>
    <row r="4" spans="1:11" x14ac:dyDescent="0.25">
      <c r="A4" s="51"/>
    </row>
    <row r="5" spans="1:11" x14ac:dyDescent="0.25">
      <c r="A5" s="51" t="s">
        <v>104</v>
      </c>
    </row>
    <row r="6" spans="1:11" x14ac:dyDescent="0.25">
      <c r="A6" s="52" t="s">
        <v>105</v>
      </c>
      <c r="B6" s="52">
        <f>IF(B9&gt;0, B9/B8, 0)</f>
        <v>96.344590888313277</v>
      </c>
    </row>
    <row r="7" spans="1:11" x14ac:dyDescent="0.25">
      <c r="A7" s="52" t="s">
        <v>106</v>
      </c>
      <c r="B7" s="53">
        <v>1</v>
      </c>
    </row>
    <row r="8" spans="1:11" x14ac:dyDescent="0.25">
      <c r="A8" s="52" t="s">
        <v>107</v>
      </c>
      <c r="B8" s="53">
        <v>2625.2</v>
      </c>
    </row>
    <row r="9" spans="1:11" x14ac:dyDescent="0.25">
      <c r="A9" s="52" t="s">
        <v>14</v>
      </c>
      <c r="B9" s="53">
        <v>252923.82</v>
      </c>
    </row>
    <row r="15" spans="1:11" x14ac:dyDescent="0.25">
      <c r="A15" s="51" t="s">
        <v>108</v>
      </c>
      <c r="B15" s="52">
        <f>B26+B34</f>
        <v>3589.63</v>
      </c>
      <c r="K15" s="52">
        <f>K17-K18-K20-K21-K22-K23-K19</f>
        <v>9189.2000000000044</v>
      </c>
    </row>
    <row r="16" spans="1:11" s="56" customFormat="1" x14ac:dyDescent="0.25">
      <c r="A16" s="54" t="s">
        <v>109</v>
      </c>
      <c r="B16" s="55">
        <v>42825</v>
      </c>
      <c r="C16" s="55">
        <v>43190</v>
      </c>
      <c r="D16" s="55">
        <v>43555</v>
      </c>
      <c r="E16" s="55">
        <v>43921</v>
      </c>
      <c r="F16" s="55">
        <v>44286</v>
      </c>
      <c r="G16" s="55">
        <v>44651</v>
      </c>
      <c r="H16" s="55">
        <v>45016</v>
      </c>
      <c r="I16" s="55">
        <v>45382</v>
      </c>
      <c r="J16" s="55">
        <v>45747</v>
      </c>
      <c r="K16" s="55">
        <v>46112</v>
      </c>
    </row>
    <row r="17" spans="1:11" x14ac:dyDescent="0.25">
      <c r="A17" s="52" t="s">
        <v>50</v>
      </c>
      <c r="B17" s="53">
        <v>15061.99</v>
      </c>
      <c r="C17" s="53">
        <v>16824.55</v>
      </c>
      <c r="D17" s="53">
        <v>19240.13</v>
      </c>
      <c r="E17" s="53">
        <v>20211.25</v>
      </c>
      <c r="F17" s="53">
        <v>21712.79</v>
      </c>
      <c r="G17" s="53">
        <v>29101.279999999999</v>
      </c>
      <c r="H17" s="53">
        <v>34488.589999999997</v>
      </c>
      <c r="I17" s="53">
        <v>35494.730000000003</v>
      </c>
      <c r="J17" s="53">
        <v>33905.620000000003</v>
      </c>
      <c r="K17" s="53">
        <v>35583.54</v>
      </c>
    </row>
    <row r="18" spans="1:11" ht="14.4" x14ac:dyDescent="0.3">
      <c r="A18" s="52" t="s">
        <v>110</v>
      </c>
      <c r="B18" s="57">
        <v>7452.6</v>
      </c>
      <c r="C18" s="57">
        <v>8128.17</v>
      </c>
      <c r="D18" s="57">
        <v>9974.4</v>
      </c>
      <c r="E18" s="57">
        <v>9981.99</v>
      </c>
      <c r="F18" s="57">
        <v>10425.549999999999</v>
      </c>
      <c r="G18" s="57">
        <v>17123.25</v>
      </c>
      <c r="H18" s="57">
        <v>18985.53</v>
      </c>
      <c r="I18" s="57">
        <v>17410.84</v>
      </c>
      <c r="J18" s="57">
        <v>17504.509999999998</v>
      </c>
      <c r="K18" s="57">
        <v>17142.009999999998</v>
      </c>
    </row>
    <row r="19" spans="1:11" ht="14.4" x14ac:dyDescent="0.3">
      <c r="A19" s="52" t="s">
        <v>111</v>
      </c>
      <c r="B19" s="57">
        <v>528.6</v>
      </c>
      <c r="C19" s="57">
        <v>-142.13</v>
      </c>
      <c r="D19" s="57">
        <v>293.26</v>
      </c>
      <c r="E19" s="57">
        <v>239.15</v>
      </c>
      <c r="F19" s="57">
        <v>92.45</v>
      </c>
      <c r="G19" s="57">
        <v>1324.97</v>
      </c>
      <c r="H19" s="57">
        <v>309.73</v>
      </c>
      <c r="I19" s="57">
        <v>-363.8</v>
      </c>
      <c r="J19" s="57">
        <v>205</v>
      </c>
      <c r="K19" s="57">
        <v>-603.67999999999995</v>
      </c>
    </row>
    <row r="20" spans="1:11" x14ac:dyDescent="0.25">
      <c r="A20" s="52" t="s">
        <v>112</v>
      </c>
      <c r="B20" s="53">
        <v>106.02</v>
      </c>
      <c r="C20" s="53">
        <v>110.3</v>
      </c>
      <c r="D20" s="53">
        <v>119.63</v>
      </c>
      <c r="E20" s="53">
        <v>97.79</v>
      </c>
      <c r="F20" s="53">
        <v>86.05</v>
      </c>
      <c r="G20" s="53">
        <v>117.23</v>
      </c>
      <c r="H20" s="53">
        <v>138.29</v>
      </c>
      <c r="I20" s="53">
        <v>133.25</v>
      </c>
      <c r="J20" s="53">
        <v>148.58000000000001</v>
      </c>
      <c r="K20" s="53">
        <v>167.1</v>
      </c>
    </row>
    <row r="21" spans="1:11" x14ac:dyDescent="0.25">
      <c r="A21" s="52" t="s">
        <v>113</v>
      </c>
      <c r="B21" s="53">
        <v>1662.75</v>
      </c>
      <c r="C21" s="53">
        <v>1691.68</v>
      </c>
      <c r="D21" s="53">
        <v>1862.35</v>
      </c>
      <c r="E21" s="53">
        <v>1946.12</v>
      </c>
      <c r="F21" s="53">
        <v>2068.31</v>
      </c>
      <c r="G21" s="53">
        <v>2880.45</v>
      </c>
      <c r="H21" s="53">
        <v>2916.2</v>
      </c>
      <c r="I21" s="53">
        <v>2767.18</v>
      </c>
      <c r="J21" s="53">
        <v>2687.4</v>
      </c>
      <c r="K21" s="53">
        <v>2767.11</v>
      </c>
    </row>
    <row r="22" spans="1:11" x14ac:dyDescent="0.25">
      <c r="A22" s="52" t="s">
        <v>114</v>
      </c>
      <c r="B22" s="53">
        <v>1039.8900000000001</v>
      </c>
      <c r="C22" s="53">
        <v>1121.8900000000001</v>
      </c>
      <c r="D22" s="53">
        <v>1242.69</v>
      </c>
      <c r="E22" s="53">
        <v>1371.27</v>
      </c>
      <c r="F22" s="53">
        <v>1547.61</v>
      </c>
      <c r="G22" s="53">
        <v>1794.61</v>
      </c>
      <c r="H22" s="53">
        <v>2036.41</v>
      </c>
      <c r="I22" s="53">
        <v>2334.92</v>
      </c>
      <c r="J22" s="53">
        <v>2605.7800000000002</v>
      </c>
      <c r="K22" s="53">
        <v>2809.73</v>
      </c>
    </row>
    <row r="23" spans="1:11" x14ac:dyDescent="0.25">
      <c r="A23" s="52" t="s">
        <v>115</v>
      </c>
      <c r="B23" s="53">
        <v>4364.04</v>
      </c>
      <c r="C23" s="53">
        <v>2254.92</v>
      </c>
      <c r="D23" s="53">
        <v>2366.87</v>
      </c>
      <c r="E23" s="53">
        <v>2311.5100000000002</v>
      </c>
      <c r="F23" s="53">
        <v>2245.69</v>
      </c>
      <c r="G23" s="53">
        <v>2941.98</v>
      </c>
      <c r="H23" s="53">
        <v>3500.84</v>
      </c>
      <c r="I23" s="53">
        <v>3811.86</v>
      </c>
      <c r="J23" s="53">
        <v>3874.94</v>
      </c>
      <c r="K23" s="53">
        <v>4112.07</v>
      </c>
    </row>
    <row r="24" spans="1:11" x14ac:dyDescent="0.25">
      <c r="A24" s="52" t="s">
        <v>116</v>
      </c>
      <c r="B24" s="53">
        <v>-2028.47</v>
      </c>
      <c r="C24" s="53">
        <v>171.45</v>
      </c>
      <c r="D24" s="53">
        <v>202.51</v>
      </c>
      <c r="E24" s="53">
        <v>579.95000000000005</v>
      </c>
      <c r="F24" s="53">
        <v>576.42999999999995</v>
      </c>
      <c r="G24" s="53">
        <v>765.12</v>
      </c>
      <c r="H24" s="53">
        <v>961.21</v>
      </c>
      <c r="I24" s="53">
        <v>1087.9000000000001</v>
      </c>
      <c r="J24" s="53">
        <v>1283.2</v>
      </c>
      <c r="K24" s="53">
        <v>1282.1099999999999</v>
      </c>
    </row>
    <row r="25" spans="1:11" x14ac:dyDescent="0.25">
      <c r="A25" s="52" t="s">
        <v>117</v>
      </c>
      <c r="B25" s="53">
        <v>337.9</v>
      </c>
      <c r="C25" s="53">
        <v>336.41</v>
      </c>
      <c r="D25" s="53">
        <v>273.77</v>
      </c>
      <c r="E25" s="53">
        <v>350.1</v>
      </c>
      <c r="F25" s="53">
        <v>331.65</v>
      </c>
      <c r="G25" s="53">
        <v>295.88</v>
      </c>
      <c r="H25" s="53">
        <v>431.46</v>
      </c>
      <c r="I25" s="53">
        <v>820.96</v>
      </c>
      <c r="J25" s="53">
        <v>350.22</v>
      </c>
      <c r="K25" s="53">
        <v>727.97</v>
      </c>
    </row>
    <row r="26" spans="1:11" x14ac:dyDescent="0.25">
      <c r="A26" s="52" t="s">
        <v>63</v>
      </c>
      <c r="B26" s="53">
        <v>334.79</v>
      </c>
      <c r="C26" s="53">
        <v>360.47</v>
      </c>
      <c r="D26" s="53">
        <v>622.14</v>
      </c>
      <c r="E26" s="53">
        <v>780.5</v>
      </c>
      <c r="F26" s="53">
        <v>791.27</v>
      </c>
      <c r="G26" s="53">
        <v>816.36</v>
      </c>
      <c r="H26" s="53">
        <v>858.02</v>
      </c>
      <c r="I26" s="53">
        <v>853</v>
      </c>
      <c r="J26" s="53">
        <v>1026.3399999999999</v>
      </c>
      <c r="K26" s="53">
        <v>1228.8499999999999</v>
      </c>
    </row>
    <row r="27" spans="1:11" ht="14.4" x14ac:dyDescent="0.3">
      <c r="A27" s="52" t="s">
        <v>61</v>
      </c>
      <c r="B27" s="53">
        <v>37.33</v>
      </c>
      <c r="C27" s="53">
        <v>41.47</v>
      </c>
      <c r="D27" s="53">
        <v>110.47</v>
      </c>
      <c r="E27" s="53">
        <v>102.33</v>
      </c>
      <c r="F27" s="53">
        <v>91.63</v>
      </c>
      <c r="G27" s="53">
        <v>95.41</v>
      </c>
      <c r="H27" s="53">
        <v>144.44999999999999</v>
      </c>
      <c r="I27" s="53">
        <v>205.17</v>
      </c>
      <c r="J27" s="57">
        <v>227.02</v>
      </c>
      <c r="K27" s="57">
        <v>195.41</v>
      </c>
    </row>
    <row r="28" spans="1:11" x14ac:dyDescent="0.25">
      <c r="A28" s="52" t="s">
        <v>118</v>
      </c>
      <c r="B28" s="53">
        <v>2959.54</v>
      </c>
      <c r="C28" s="53">
        <v>3138.48</v>
      </c>
      <c r="D28" s="53">
        <v>3306.1</v>
      </c>
      <c r="E28" s="53">
        <v>3629.04</v>
      </c>
      <c r="F28" s="53">
        <v>4304.3500000000004</v>
      </c>
      <c r="G28" s="53">
        <v>4187.72</v>
      </c>
      <c r="H28" s="53">
        <v>5688.83</v>
      </c>
      <c r="I28" s="53">
        <v>7347.77</v>
      </c>
      <c r="J28" s="53">
        <v>5103.07</v>
      </c>
      <c r="K28" s="53">
        <v>6003.44</v>
      </c>
    </row>
    <row r="29" spans="1:11" x14ac:dyDescent="0.25">
      <c r="A29" s="52" t="s">
        <v>67</v>
      </c>
      <c r="B29" s="53">
        <v>943.29</v>
      </c>
      <c r="C29" s="53">
        <v>1040.96</v>
      </c>
      <c r="D29" s="53">
        <v>1098.06</v>
      </c>
      <c r="E29" s="53">
        <v>854.85</v>
      </c>
      <c r="F29" s="53">
        <v>1097.5999999999999</v>
      </c>
      <c r="G29" s="53">
        <v>1102.9100000000001</v>
      </c>
      <c r="H29" s="53">
        <v>1493.5</v>
      </c>
      <c r="I29" s="53">
        <v>1790.08</v>
      </c>
      <c r="J29" s="53">
        <v>1393.36</v>
      </c>
      <c r="K29" s="53">
        <v>1608.75</v>
      </c>
    </row>
    <row r="30" spans="1:11" x14ac:dyDescent="0.25">
      <c r="A30" s="52" t="s">
        <v>119</v>
      </c>
      <c r="B30" s="53">
        <v>1939.43</v>
      </c>
      <c r="C30" s="53">
        <v>2038.93</v>
      </c>
      <c r="D30" s="53">
        <v>2155.92</v>
      </c>
      <c r="E30" s="53">
        <v>2705.17</v>
      </c>
      <c r="F30" s="53">
        <v>3139.29</v>
      </c>
      <c r="G30" s="53">
        <v>3030.57</v>
      </c>
      <c r="H30" s="53">
        <v>4106.45</v>
      </c>
      <c r="I30" s="53">
        <v>5460.23</v>
      </c>
      <c r="J30" s="53">
        <v>3667.23</v>
      </c>
      <c r="K30" s="53">
        <v>4325.3500000000004</v>
      </c>
    </row>
    <row r="31" spans="1:11" x14ac:dyDescent="0.25">
      <c r="A31" s="52" t="s">
        <v>120</v>
      </c>
      <c r="B31" s="53">
        <v>987.98</v>
      </c>
      <c r="C31" s="53">
        <v>834.5</v>
      </c>
      <c r="D31" s="53">
        <v>1007.16</v>
      </c>
      <c r="E31" s="53">
        <v>1151.04</v>
      </c>
      <c r="F31" s="53">
        <v>1712.17</v>
      </c>
      <c r="G31" s="53">
        <v>1836.87</v>
      </c>
      <c r="H31" s="53">
        <v>2460.35</v>
      </c>
      <c r="I31" s="53">
        <v>3194.14</v>
      </c>
      <c r="J31" s="53">
        <v>2378.8200000000002</v>
      </c>
      <c r="K31" s="53">
        <v>2637.8</v>
      </c>
    </row>
    <row r="32" spans="1:11" x14ac:dyDescent="0.25">
      <c r="A32" s="52" t="s">
        <v>68</v>
      </c>
      <c r="B32" s="58">
        <f>B29/B28</f>
        <v>0.31872858619920663</v>
      </c>
      <c r="C32" s="58">
        <f t="shared" ref="C32:K32" si="0">C29/C28</f>
        <v>0.33167648033442942</v>
      </c>
      <c r="D32" s="58">
        <f t="shared" si="0"/>
        <v>0.3321315144732464</v>
      </c>
      <c r="E32" s="58">
        <f t="shared" si="0"/>
        <v>0.23555816414258318</v>
      </c>
      <c r="F32" s="58">
        <f t="shared" si="0"/>
        <v>0.25499785101118633</v>
      </c>
      <c r="G32" s="58">
        <f t="shared" si="0"/>
        <v>0.26336765590822692</v>
      </c>
      <c r="H32" s="58">
        <f t="shared" si="0"/>
        <v>0.26253201449155628</v>
      </c>
      <c r="I32" s="58">
        <f t="shared" si="0"/>
        <v>0.24362221463110573</v>
      </c>
      <c r="J32" s="58">
        <f t="shared" si="0"/>
        <v>0.27304348166887776</v>
      </c>
      <c r="K32" s="58">
        <f t="shared" si="0"/>
        <v>0.2679713630851645</v>
      </c>
    </row>
    <row r="34" spans="1:11" x14ac:dyDescent="0.25">
      <c r="A34" s="52" t="s">
        <v>59</v>
      </c>
      <c r="B34" s="52">
        <f>+B30+B29+B27+B26</f>
        <v>3254.84</v>
      </c>
      <c r="C34" s="52">
        <f t="shared" ref="C34:K34" si="1">+C30+C29+C27+C26</f>
        <v>3481.83</v>
      </c>
      <c r="D34" s="52">
        <f t="shared" si="1"/>
        <v>3986.5899999999997</v>
      </c>
      <c r="E34" s="52">
        <f t="shared" si="1"/>
        <v>4442.8500000000004</v>
      </c>
      <c r="F34" s="52">
        <f t="shared" si="1"/>
        <v>5119.7899999999991</v>
      </c>
      <c r="G34" s="52">
        <f t="shared" si="1"/>
        <v>5045.25</v>
      </c>
      <c r="H34" s="52">
        <f t="shared" si="1"/>
        <v>6602.42</v>
      </c>
      <c r="I34" s="52">
        <f t="shared" si="1"/>
        <v>8308.48</v>
      </c>
      <c r="J34" s="52">
        <f t="shared" si="1"/>
        <v>6313.9500000000007</v>
      </c>
      <c r="K34" s="52">
        <f t="shared" si="1"/>
        <v>7358.3600000000006</v>
      </c>
    </row>
    <row r="40" spans="1:11" x14ac:dyDescent="0.25">
      <c r="A40" s="51" t="s">
        <v>121</v>
      </c>
    </row>
    <row r="41" spans="1:11" s="56" customFormat="1" x14ac:dyDescent="0.25">
      <c r="A41" s="54" t="s">
        <v>109</v>
      </c>
      <c r="B41" s="55">
        <v>45382</v>
      </c>
      <c r="C41" s="55">
        <v>45473</v>
      </c>
      <c r="D41" s="55">
        <v>45565</v>
      </c>
      <c r="E41" s="55">
        <v>45657</v>
      </c>
      <c r="F41" s="55">
        <v>45747</v>
      </c>
      <c r="G41" s="55">
        <v>45838</v>
      </c>
      <c r="H41" s="55">
        <v>45930</v>
      </c>
      <c r="I41" s="55">
        <v>46022</v>
      </c>
      <c r="J41" s="55">
        <v>46112</v>
      </c>
      <c r="K41" s="55">
        <v>46203</v>
      </c>
    </row>
    <row r="42" spans="1:11" x14ac:dyDescent="0.25">
      <c r="A42" s="52" t="s">
        <v>50</v>
      </c>
      <c r="B42" s="53">
        <v>8730.76</v>
      </c>
      <c r="C42" s="53">
        <v>8969.73</v>
      </c>
      <c r="D42" s="53">
        <v>8027.54</v>
      </c>
      <c r="E42" s="53">
        <v>8549.44</v>
      </c>
      <c r="F42" s="53">
        <v>8358.91</v>
      </c>
      <c r="G42" s="53">
        <v>8938.5499999999993</v>
      </c>
      <c r="H42" s="53">
        <v>8531.27</v>
      </c>
      <c r="I42" s="53">
        <v>8867.02</v>
      </c>
      <c r="J42" s="53">
        <v>9246.7000000000007</v>
      </c>
      <c r="K42" s="53">
        <v>10541.94</v>
      </c>
    </row>
    <row r="43" spans="1:11" x14ac:dyDescent="0.25">
      <c r="A43" s="52" t="s">
        <v>122</v>
      </c>
      <c r="B43" s="53">
        <v>7039.39</v>
      </c>
      <c r="C43" s="53">
        <v>7275.96</v>
      </c>
      <c r="D43" s="53">
        <v>6788.03</v>
      </c>
      <c r="E43" s="53">
        <v>6912.71</v>
      </c>
      <c r="F43" s="53">
        <v>6922.71</v>
      </c>
      <c r="G43" s="53">
        <v>7313.58</v>
      </c>
      <c r="H43" s="53">
        <v>7027.89</v>
      </c>
      <c r="I43" s="53">
        <v>7086.06</v>
      </c>
      <c r="J43" s="53">
        <v>7460.09</v>
      </c>
      <c r="K43" s="53">
        <v>8373.18</v>
      </c>
    </row>
    <row r="44" spans="1:11" x14ac:dyDescent="0.25">
      <c r="A44" s="52" t="s">
        <v>117</v>
      </c>
      <c r="B44" s="53">
        <v>212.43</v>
      </c>
      <c r="C44" s="53">
        <v>192.93</v>
      </c>
      <c r="D44" s="53">
        <v>24.53</v>
      </c>
      <c r="E44" s="53">
        <v>192.82</v>
      </c>
      <c r="F44" s="53">
        <v>-60.06</v>
      </c>
      <c r="G44" s="53">
        <v>229.11</v>
      </c>
      <c r="H44" s="53">
        <v>236.94</v>
      </c>
      <c r="I44" s="53">
        <v>69.14</v>
      </c>
      <c r="J44" s="53">
        <v>196.59</v>
      </c>
      <c r="K44" s="53">
        <v>279.01</v>
      </c>
    </row>
    <row r="45" spans="1:11" x14ac:dyDescent="0.25">
      <c r="A45" s="52" t="s">
        <v>63</v>
      </c>
      <c r="B45" s="53">
        <v>225.61</v>
      </c>
      <c r="C45" s="53">
        <v>227.7</v>
      </c>
      <c r="D45" s="53">
        <v>241.99</v>
      </c>
      <c r="E45" s="53">
        <v>255.55</v>
      </c>
      <c r="F45" s="53">
        <v>301.10000000000002</v>
      </c>
      <c r="G45" s="53">
        <v>300.87</v>
      </c>
      <c r="H45" s="53">
        <v>304.93</v>
      </c>
      <c r="I45" s="53">
        <v>313.07</v>
      </c>
      <c r="J45" s="53">
        <v>309.98</v>
      </c>
      <c r="K45" s="53">
        <v>304.19</v>
      </c>
    </row>
    <row r="46" spans="1:11" ht="14.4" x14ac:dyDescent="0.3">
      <c r="A46" s="52" t="s">
        <v>61</v>
      </c>
      <c r="B46" s="57">
        <v>54.1</v>
      </c>
      <c r="C46" s="57">
        <v>55.38</v>
      </c>
      <c r="D46" s="57">
        <v>63.01</v>
      </c>
      <c r="E46" s="57">
        <v>55.84</v>
      </c>
      <c r="F46" s="57">
        <v>52.79</v>
      </c>
      <c r="G46" s="57">
        <v>44.5</v>
      </c>
      <c r="H46" s="57">
        <v>43.87</v>
      </c>
      <c r="I46" s="57">
        <v>47.94</v>
      </c>
      <c r="J46" s="57">
        <v>59.1</v>
      </c>
      <c r="K46" s="57">
        <v>47.83</v>
      </c>
    </row>
    <row r="47" spans="1:11" x14ac:dyDescent="0.25">
      <c r="A47" s="52" t="s">
        <v>118</v>
      </c>
      <c r="B47" s="53">
        <v>1624.09</v>
      </c>
      <c r="C47" s="53">
        <v>1603.62</v>
      </c>
      <c r="D47" s="53">
        <v>959.04</v>
      </c>
      <c r="E47" s="53">
        <v>1518.16</v>
      </c>
      <c r="F47" s="53">
        <v>1022.25</v>
      </c>
      <c r="G47" s="53">
        <v>1508.71</v>
      </c>
      <c r="H47" s="53">
        <v>1391.52</v>
      </c>
      <c r="I47" s="53">
        <v>1489.09</v>
      </c>
      <c r="J47" s="53">
        <v>1614.12</v>
      </c>
      <c r="K47" s="53">
        <v>2095.75</v>
      </c>
    </row>
    <row r="48" spans="1:11" x14ac:dyDescent="0.25">
      <c r="A48" s="52" t="s">
        <v>67</v>
      </c>
      <c r="B48" s="53">
        <v>348.79</v>
      </c>
      <c r="C48" s="53">
        <v>416.83</v>
      </c>
      <c r="D48" s="53">
        <v>265.38</v>
      </c>
      <c r="E48" s="53">
        <v>389.73</v>
      </c>
      <c r="F48" s="53">
        <v>321.42</v>
      </c>
      <c r="G48" s="53">
        <v>391.66</v>
      </c>
      <c r="H48" s="53">
        <v>373.29</v>
      </c>
      <c r="I48" s="53">
        <v>415.17</v>
      </c>
      <c r="J48" s="53">
        <v>428.63</v>
      </c>
      <c r="K48" s="53">
        <v>536.29999999999995</v>
      </c>
    </row>
    <row r="49" spans="1:11" x14ac:dyDescent="0.25">
      <c r="A49" s="52" t="s">
        <v>119</v>
      </c>
      <c r="B49" s="53">
        <v>1256.72</v>
      </c>
      <c r="C49" s="53">
        <v>1169.98</v>
      </c>
      <c r="D49" s="53">
        <v>694.64</v>
      </c>
      <c r="E49" s="53">
        <v>1110.48</v>
      </c>
      <c r="F49" s="53">
        <v>692.13</v>
      </c>
      <c r="G49" s="53">
        <v>1099.77</v>
      </c>
      <c r="H49" s="53">
        <v>993.59</v>
      </c>
      <c r="I49" s="53">
        <v>1059.8699999999999</v>
      </c>
      <c r="J49" s="53">
        <v>1172.1199999999999</v>
      </c>
      <c r="K49" s="53">
        <v>1539.25</v>
      </c>
    </row>
    <row r="50" spans="1:11" x14ac:dyDescent="0.25">
      <c r="A50" s="52" t="s">
        <v>123</v>
      </c>
      <c r="B50" s="53">
        <v>1691.37</v>
      </c>
      <c r="C50" s="53">
        <v>1693.77</v>
      </c>
      <c r="D50" s="53">
        <v>1239.51</v>
      </c>
      <c r="E50" s="53">
        <v>1636.73</v>
      </c>
      <c r="F50" s="53">
        <v>1436.2</v>
      </c>
      <c r="G50" s="53">
        <v>1624.97</v>
      </c>
      <c r="H50" s="53">
        <v>1503.38</v>
      </c>
      <c r="I50" s="53">
        <v>1780.96</v>
      </c>
      <c r="J50" s="53">
        <v>1786.61</v>
      </c>
      <c r="K50" s="53">
        <v>2168.7600000000002</v>
      </c>
    </row>
    <row r="51" spans="1:11" x14ac:dyDescent="0.25">
      <c r="A51" s="52" t="s">
        <v>59</v>
      </c>
      <c r="B51" s="52">
        <f>B49+B48+B46+B45</f>
        <v>1885.2199999999998</v>
      </c>
      <c r="C51" s="52">
        <f t="shared" ref="C51:K51" si="2">C49+C48+C46+C45</f>
        <v>1869.89</v>
      </c>
      <c r="D51" s="52">
        <f t="shared" si="2"/>
        <v>1265.02</v>
      </c>
      <c r="E51" s="52">
        <f t="shared" si="2"/>
        <v>1811.6</v>
      </c>
      <c r="F51" s="52">
        <f t="shared" si="2"/>
        <v>1367.44</v>
      </c>
      <c r="G51" s="52">
        <f t="shared" si="2"/>
        <v>1836.8000000000002</v>
      </c>
      <c r="H51" s="52">
        <f t="shared" si="2"/>
        <v>1715.68</v>
      </c>
      <c r="I51" s="52">
        <f t="shared" si="2"/>
        <v>1836.05</v>
      </c>
      <c r="J51" s="52">
        <f t="shared" si="2"/>
        <v>1969.83</v>
      </c>
      <c r="K51" s="52">
        <f t="shared" si="2"/>
        <v>2427.5700000000002</v>
      </c>
    </row>
    <row r="55" spans="1:11" x14ac:dyDescent="0.25">
      <c r="A55" s="51" t="s">
        <v>124</v>
      </c>
    </row>
    <row r="56" spans="1:11" s="56" customFormat="1" x14ac:dyDescent="0.25">
      <c r="A56" s="54" t="s">
        <v>109</v>
      </c>
      <c r="B56" s="55">
        <v>42825</v>
      </c>
      <c r="C56" s="55">
        <v>43190</v>
      </c>
      <c r="D56" s="55">
        <v>43555</v>
      </c>
      <c r="E56" s="55">
        <v>43921</v>
      </c>
      <c r="F56" s="55">
        <v>44286</v>
      </c>
      <c r="G56" s="55">
        <v>44651</v>
      </c>
      <c r="H56" s="55">
        <v>45016</v>
      </c>
      <c r="I56" s="55">
        <v>45382</v>
      </c>
      <c r="J56" s="55">
        <v>45747</v>
      </c>
      <c r="K56" s="55">
        <v>46112</v>
      </c>
    </row>
    <row r="57" spans="1:11" x14ac:dyDescent="0.25">
      <c r="A57" s="52" t="s">
        <v>78</v>
      </c>
      <c r="B57" s="53">
        <v>95.92</v>
      </c>
      <c r="C57" s="53">
        <v>95.92</v>
      </c>
      <c r="D57" s="53">
        <v>95.92</v>
      </c>
      <c r="E57" s="53">
        <v>95.92</v>
      </c>
      <c r="F57" s="53">
        <v>95.92</v>
      </c>
      <c r="G57" s="53">
        <v>95.92</v>
      </c>
      <c r="H57" s="53">
        <v>95.92</v>
      </c>
      <c r="I57" s="53">
        <v>95.92</v>
      </c>
      <c r="J57" s="53">
        <v>95.92</v>
      </c>
      <c r="K57" s="53">
        <v>95.92</v>
      </c>
    </row>
    <row r="58" spans="1:11" x14ac:dyDescent="0.25">
      <c r="A58" s="52" t="s">
        <v>79</v>
      </c>
      <c r="B58" s="53">
        <v>7507.97</v>
      </c>
      <c r="C58" s="53">
        <v>8314.31</v>
      </c>
      <c r="D58" s="53">
        <v>9374.6299999999992</v>
      </c>
      <c r="E58" s="53">
        <v>10034.24</v>
      </c>
      <c r="F58" s="53">
        <v>12710.37</v>
      </c>
      <c r="G58" s="53">
        <v>13715.64</v>
      </c>
      <c r="H58" s="53">
        <v>15896.31</v>
      </c>
      <c r="I58" s="53">
        <v>18632.38</v>
      </c>
      <c r="J58" s="53">
        <v>19303.89</v>
      </c>
      <c r="K58" s="53">
        <v>21275.67</v>
      </c>
    </row>
    <row r="59" spans="1:11" ht="14.4" x14ac:dyDescent="0.3">
      <c r="A59" s="52" t="s">
        <v>80</v>
      </c>
      <c r="B59" s="57">
        <v>560.34</v>
      </c>
      <c r="C59" s="57">
        <v>533.42999999999995</v>
      </c>
      <c r="D59" s="57">
        <v>1319.6</v>
      </c>
      <c r="E59" s="57">
        <v>1118.5</v>
      </c>
      <c r="F59" s="57">
        <v>1093.1199999999999</v>
      </c>
      <c r="G59" s="57">
        <v>1586.88</v>
      </c>
      <c r="H59" s="57">
        <v>1932.62</v>
      </c>
      <c r="I59" s="57">
        <v>2474.38</v>
      </c>
      <c r="J59" s="57">
        <v>2290.29</v>
      </c>
      <c r="K59" s="57">
        <v>3928.93</v>
      </c>
    </row>
    <row r="60" spans="1:11" x14ac:dyDescent="0.25">
      <c r="A60" s="52" t="s">
        <v>81</v>
      </c>
      <c r="B60" s="53">
        <v>4240.96</v>
      </c>
      <c r="C60" s="53">
        <v>4819.82</v>
      </c>
      <c r="D60" s="53">
        <v>5458.69</v>
      </c>
      <c r="E60" s="53">
        <v>4889.3100000000004</v>
      </c>
      <c r="F60" s="53">
        <v>6455.93</v>
      </c>
      <c r="G60" s="53">
        <v>7559.99</v>
      </c>
      <c r="H60" s="53">
        <v>7854.48</v>
      </c>
      <c r="I60" s="53">
        <v>8698.09</v>
      </c>
      <c r="J60" s="53">
        <v>8665.15</v>
      </c>
      <c r="K60" s="53">
        <v>9218.23</v>
      </c>
    </row>
    <row r="61" spans="1:11" s="51" customFormat="1" x14ac:dyDescent="0.25">
      <c r="A61" s="51" t="s">
        <v>36</v>
      </c>
      <c r="B61" s="53">
        <v>12405.19</v>
      </c>
      <c r="C61" s="53">
        <v>13763.48</v>
      </c>
      <c r="D61" s="53">
        <v>16248.84</v>
      </c>
      <c r="E61" s="53">
        <v>16137.97</v>
      </c>
      <c r="F61" s="53">
        <v>20355.34</v>
      </c>
      <c r="G61" s="53">
        <v>22958.43</v>
      </c>
      <c r="H61" s="53">
        <v>25779.33</v>
      </c>
      <c r="I61" s="53">
        <v>29900.77</v>
      </c>
      <c r="J61" s="53">
        <v>30355.25</v>
      </c>
      <c r="K61" s="53">
        <v>34518.75</v>
      </c>
    </row>
    <row r="62" spans="1:11" x14ac:dyDescent="0.25">
      <c r="A62" s="52" t="s">
        <v>125</v>
      </c>
      <c r="B62" s="53">
        <v>3303.74</v>
      </c>
      <c r="C62" s="53">
        <v>3732.24</v>
      </c>
      <c r="D62" s="53">
        <v>6496.56</v>
      </c>
      <c r="E62" s="53">
        <v>6272.31</v>
      </c>
      <c r="F62" s="53">
        <v>5858.52</v>
      </c>
      <c r="G62" s="53">
        <v>5519.06</v>
      </c>
      <c r="H62" s="53">
        <v>5770.46</v>
      </c>
      <c r="I62" s="53">
        <v>7146.62</v>
      </c>
      <c r="J62" s="53">
        <v>9220.1</v>
      </c>
      <c r="K62" s="53">
        <v>9640.2800000000007</v>
      </c>
    </row>
    <row r="63" spans="1:11" x14ac:dyDescent="0.25">
      <c r="A63" s="52" t="s">
        <v>84</v>
      </c>
      <c r="B63" s="53">
        <v>257.54000000000002</v>
      </c>
      <c r="C63" s="53">
        <v>1405.11</v>
      </c>
      <c r="D63" s="53">
        <v>209.67</v>
      </c>
      <c r="E63" s="53">
        <v>140.24</v>
      </c>
      <c r="F63" s="53">
        <v>182.98</v>
      </c>
      <c r="G63" s="53">
        <v>426.43</v>
      </c>
      <c r="H63" s="53">
        <v>1019.59</v>
      </c>
      <c r="I63" s="53">
        <v>2698.37</v>
      </c>
      <c r="J63" s="53">
        <v>1254.49</v>
      </c>
      <c r="K63" s="53">
        <v>1848.67</v>
      </c>
    </row>
    <row r="64" spans="1:11" ht="14.4" x14ac:dyDescent="0.3">
      <c r="A64" s="52" t="s">
        <v>85</v>
      </c>
      <c r="B64" s="53">
        <v>2651.99</v>
      </c>
      <c r="C64" s="57">
        <v>2140.6999999999998</v>
      </c>
      <c r="D64" s="53">
        <v>2568.58</v>
      </c>
      <c r="E64" s="53">
        <v>2018.85</v>
      </c>
      <c r="F64" s="53">
        <v>4736.8</v>
      </c>
      <c r="G64" s="53">
        <v>3247.53</v>
      </c>
      <c r="H64" s="53">
        <v>4261.71</v>
      </c>
      <c r="I64" s="53">
        <v>4587.92</v>
      </c>
      <c r="J64" s="53">
        <v>4724.75</v>
      </c>
      <c r="K64" s="53">
        <v>7061.74</v>
      </c>
    </row>
    <row r="65" spans="1:11" x14ac:dyDescent="0.25">
      <c r="A65" s="52" t="s">
        <v>86</v>
      </c>
      <c r="B65" s="53">
        <v>6191.92</v>
      </c>
      <c r="C65" s="53">
        <v>6485.43</v>
      </c>
      <c r="D65" s="53">
        <v>6974.03</v>
      </c>
      <c r="E65" s="53">
        <v>7706.57</v>
      </c>
      <c r="F65" s="53">
        <v>9577.0400000000009</v>
      </c>
      <c r="G65" s="53">
        <v>13765.41</v>
      </c>
      <c r="H65" s="53">
        <v>14727.57</v>
      </c>
      <c r="I65" s="53">
        <v>15467.86</v>
      </c>
      <c r="J65" s="53">
        <v>15155.91</v>
      </c>
      <c r="K65" s="53">
        <v>15968.06</v>
      </c>
    </row>
    <row r="66" spans="1:11" s="51" customFormat="1" x14ac:dyDescent="0.25">
      <c r="A66" s="51" t="s">
        <v>36</v>
      </c>
      <c r="B66" s="53">
        <v>12405.19</v>
      </c>
      <c r="C66" s="53">
        <v>13763.48</v>
      </c>
      <c r="D66" s="53">
        <v>16248.84</v>
      </c>
      <c r="E66" s="53">
        <v>16137.97</v>
      </c>
      <c r="F66" s="53">
        <v>20355.34</v>
      </c>
      <c r="G66" s="53">
        <v>22958.43</v>
      </c>
      <c r="H66" s="53">
        <v>25779.33</v>
      </c>
      <c r="I66" s="53">
        <v>29900.77</v>
      </c>
      <c r="J66" s="53">
        <v>30355.25</v>
      </c>
      <c r="K66" s="53">
        <v>34518.75</v>
      </c>
    </row>
    <row r="67" spans="1:11" x14ac:dyDescent="0.25">
      <c r="A67" s="52" t="s">
        <v>88</v>
      </c>
      <c r="B67" s="53">
        <v>1446.6</v>
      </c>
      <c r="C67" s="53">
        <v>1730.63</v>
      </c>
      <c r="D67" s="53">
        <v>1907.33</v>
      </c>
      <c r="E67" s="53">
        <v>1795.22</v>
      </c>
      <c r="F67" s="53">
        <v>2602.17</v>
      </c>
      <c r="G67" s="53">
        <v>3871.44</v>
      </c>
      <c r="H67" s="53">
        <v>4636.9399999999996</v>
      </c>
      <c r="I67" s="53">
        <v>4889.05</v>
      </c>
      <c r="J67" s="53">
        <v>4313.6499999999996</v>
      </c>
      <c r="K67" s="53">
        <v>4461.8</v>
      </c>
    </row>
    <row r="68" spans="1:11" ht="14.4" x14ac:dyDescent="0.3">
      <c r="A68" s="52" t="s">
        <v>89</v>
      </c>
      <c r="B68" s="57">
        <v>2626.94</v>
      </c>
      <c r="C68" s="57">
        <v>2658.31</v>
      </c>
      <c r="D68" s="57">
        <v>3149.86</v>
      </c>
      <c r="E68" s="57">
        <v>3389.81</v>
      </c>
      <c r="F68" s="57">
        <v>3798.6</v>
      </c>
      <c r="G68" s="57">
        <v>6152.98</v>
      </c>
      <c r="H68" s="57">
        <v>6210.64</v>
      </c>
      <c r="I68" s="57">
        <v>5923.41</v>
      </c>
      <c r="J68" s="57">
        <v>6719.27</v>
      </c>
      <c r="K68" s="57">
        <v>5743.69</v>
      </c>
    </row>
    <row r="69" spans="1:11" x14ac:dyDescent="0.25">
      <c r="A69" s="52" t="s">
        <v>90</v>
      </c>
      <c r="B69" s="53">
        <v>801.21</v>
      </c>
      <c r="C69" s="53">
        <v>404.65</v>
      </c>
      <c r="D69" s="53">
        <v>444.88</v>
      </c>
      <c r="E69" s="53">
        <v>782.83</v>
      </c>
      <c r="F69" s="53">
        <v>610.75</v>
      </c>
      <c r="G69" s="53">
        <v>864.33</v>
      </c>
      <c r="H69" s="53">
        <v>843.82</v>
      </c>
      <c r="I69" s="53">
        <v>1084.01</v>
      </c>
      <c r="J69" s="53">
        <v>781.98</v>
      </c>
      <c r="K69" s="53">
        <v>1073.68</v>
      </c>
    </row>
    <row r="70" spans="1:11" x14ac:dyDescent="0.25">
      <c r="A70" s="52" t="s">
        <v>126</v>
      </c>
      <c r="B70" s="53">
        <v>959197790</v>
      </c>
      <c r="C70" s="53">
        <v>959197790</v>
      </c>
      <c r="D70" s="53">
        <v>959197790</v>
      </c>
      <c r="E70" s="53">
        <v>959197790</v>
      </c>
      <c r="F70" s="53">
        <v>959197790</v>
      </c>
      <c r="G70" s="53">
        <v>959197790</v>
      </c>
      <c r="H70" s="53">
        <v>959197790</v>
      </c>
      <c r="I70" s="53">
        <v>959197790</v>
      </c>
      <c r="J70" s="53">
        <v>959197790</v>
      </c>
      <c r="K70" s="53">
        <v>959197790</v>
      </c>
    </row>
    <row r="71" spans="1:11" ht="13.8" x14ac:dyDescent="0.25">
      <c r="A71" s="52" t="s">
        <v>127</v>
      </c>
      <c r="B71" s="59"/>
      <c r="C71" s="59"/>
      <c r="G71" s="59"/>
      <c r="H71" s="59"/>
    </row>
    <row r="72" spans="1:11" x14ac:dyDescent="0.25">
      <c r="A72" s="52" t="s">
        <v>128</v>
      </c>
      <c r="B72" s="53">
        <v>1</v>
      </c>
      <c r="C72" s="53">
        <v>1</v>
      </c>
      <c r="D72" s="53">
        <v>1</v>
      </c>
      <c r="E72" s="53">
        <v>1</v>
      </c>
      <c r="F72" s="53">
        <v>1</v>
      </c>
      <c r="G72" s="53">
        <v>1</v>
      </c>
      <c r="H72" s="53">
        <v>1</v>
      </c>
      <c r="I72" s="53">
        <v>1</v>
      </c>
      <c r="J72" s="53">
        <v>1</v>
      </c>
      <c r="K72" s="53">
        <v>1</v>
      </c>
    </row>
    <row r="74" spans="1:11" x14ac:dyDescent="0.25">
      <c r="A74" s="52" t="s">
        <v>203</v>
      </c>
      <c r="B74" s="52">
        <f>B65-SUM(B67:B69)</f>
        <v>1317.17</v>
      </c>
      <c r="C74" s="52">
        <f t="shared" ref="C74:K74" si="3">C65-SUM(C67:C69)</f>
        <v>1691.8400000000001</v>
      </c>
      <c r="D74" s="52">
        <f t="shared" si="3"/>
        <v>1471.9599999999991</v>
      </c>
      <c r="E74" s="52">
        <f t="shared" si="3"/>
        <v>1738.71</v>
      </c>
      <c r="F74" s="52">
        <f t="shared" si="3"/>
        <v>2565.5200000000004</v>
      </c>
      <c r="G74" s="52">
        <f t="shared" si="3"/>
        <v>2876.66</v>
      </c>
      <c r="H74" s="52">
        <f t="shared" si="3"/>
        <v>3036.17</v>
      </c>
      <c r="I74" s="52">
        <f t="shared" si="3"/>
        <v>3571.3900000000012</v>
      </c>
      <c r="J74" s="52">
        <f t="shared" si="3"/>
        <v>3341.01</v>
      </c>
      <c r="K74" s="52">
        <f t="shared" si="3"/>
        <v>4688.8899999999994</v>
      </c>
    </row>
    <row r="76" spans="1:11" x14ac:dyDescent="0.25">
      <c r="A76" s="52" t="s">
        <v>204</v>
      </c>
      <c r="B76" s="52">
        <f>B66</f>
        <v>12405.19</v>
      </c>
      <c r="C76" s="52">
        <f t="shared" ref="C76:K76" si="4">C66</f>
        <v>13763.48</v>
      </c>
      <c r="D76" s="52">
        <f t="shared" si="4"/>
        <v>16248.84</v>
      </c>
      <c r="E76" s="52">
        <f t="shared" si="4"/>
        <v>16137.97</v>
      </c>
      <c r="F76" s="52">
        <f t="shared" si="4"/>
        <v>20355.34</v>
      </c>
      <c r="G76" s="52">
        <f t="shared" si="4"/>
        <v>22958.43</v>
      </c>
      <c r="H76" s="52">
        <f t="shared" si="4"/>
        <v>25779.33</v>
      </c>
      <c r="I76" s="52">
        <f t="shared" si="4"/>
        <v>29900.77</v>
      </c>
      <c r="J76" s="52">
        <f t="shared" si="4"/>
        <v>30355.25</v>
      </c>
      <c r="K76" s="52">
        <f t="shared" si="4"/>
        <v>34518.75</v>
      </c>
    </row>
    <row r="80" spans="1:11" x14ac:dyDescent="0.25">
      <c r="A80" s="51" t="s">
        <v>129</v>
      </c>
    </row>
    <row r="81" spans="1:12" s="56" customFormat="1" x14ac:dyDescent="0.25">
      <c r="A81" s="54" t="s">
        <v>109</v>
      </c>
      <c r="B81" s="55">
        <v>42825</v>
      </c>
      <c r="C81" s="55">
        <v>43190</v>
      </c>
      <c r="D81" s="55">
        <v>43555</v>
      </c>
      <c r="E81" s="55">
        <v>43921</v>
      </c>
      <c r="F81" s="55">
        <v>44286</v>
      </c>
      <c r="G81" s="55">
        <v>44651</v>
      </c>
      <c r="H81" s="55">
        <v>45016</v>
      </c>
      <c r="I81" s="55">
        <v>45382</v>
      </c>
      <c r="J81" s="55">
        <v>45747</v>
      </c>
      <c r="K81" s="55">
        <v>46112</v>
      </c>
      <c r="L81" s="55"/>
    </row>
    <row r="82" spans="1:12" s="51" customFormat="1" x14ac:dyDescent="0.25">
      <c r="A82" s="52" t="s">
        <v>130</v>
      </c>
      <c r="B82" s="53">
        <v>1527.33</v>
      </c>
      <c r="C82" s="53">
        <v>2113.44</v>
      </c>
      <c r="D82" s="53">
        <v>2469.54</v>
      </c>
      <c r="E82" s="53">
        <v>3038.15</v>
      </c>
      <c r="F82" s="53">
        <v>3683.35</v>
      </c>
      <c r="G82" s="53">
        <v>986.49</v>
      </c>
      <c r="H82" s="53">
        <v>4193.43</v>
      </c>
      <c r="I82" s="53">
        <v>6103.6</v>
      </c>
      <c r="J82" s="53">
        <v>4423.96</v>
      </c>
      <c r="K82" s="53">
        <v>7088.18</v>
      </c>
    </row>
    <row r="83" spans="1:12" x14ac:dyDescent="0.25">
      <c r="A83" s="52" t="s">
        <v>131</v>
      </c>
      <c r="B83" s="53">
        <v>-681.11</v>
      </c>
      <c r="C83" s="53">
        <v>-1556.14</v>
      </c>
      <c r="D83" s="53">
        <v>-917.79</v>
      </c>
      <c r="E83" s="53">
        <v>-517.91</v>
      </c>
      <c r="F83" s="53">
        <v>-540.54</v>
      </c>
      <c r="G83" s="53">
        <v>-316.75</v>
      </c>
      <c r="H83" s="53">
        <v>-1282.3399999999999</v>
      </c>
      <c r="I83" s="53">
        <v>-2548.48</v>
      </c>
      <c r="J83" s="53">
        <v>-940.91</v>
      </c>
      <c r="K83" s="53">
        <v>-1328.23</v>
      </c>
    </row>
    <row r="84" spans="1:12" x14ac:dyDescent="0.25">
      <c r="A84" s="52" t="s">
        <v>132</v>
      </c>
      <c r="B84" s="53">
        <v>-756.43</v>
      </c>
      <c r="C84" s="53">
        <v>-1379.14</v>
      </c>
      <c r="D84" s="53">
        <v>-1117.46</v>
      </c>
      <c r="E84" s="53">
        <v>-2871.46</v>
      </c>
      <c r="F84" s="53">
        <v>-650.4</v>
      </c>
      <c r="G84" s="53">
        <v>-1807.61</v>
      </c>
      <c r="H84" s="53">
        <v>-2140.0500000000002</v>
      </c>
      <c r="I84" s="53">
        <v>-2982.5</v>
      </c>
      <c r="J84" s="53">
        <v>-3752.58</v>
      </c>
      <c r="K84" s="53">
        <v>-2376.5100000000002</v>
      </c>
    </row>
    <row r="85" spans="1:12" s="51" customFormat="1" x14ac:dyDescent="0.25">
      <c r="A85" s="52" t="s">
        <v>98</v>
      </c>
      <c r="B85" s="53">
        <v>89.79</v>
      </c>
      <c r="C85" s="53">
        <v>-821.84</v>
      </c>
      <c r="D85" s="53">
        <v>434.29</v>
      </c>
      <c r="E85" s="53">
        <v>-351.22</v>
      </c>
      <c r="F85" s="53">
        <v>2492.41</v>
      </c>
      <c r="G85" s="53">
        <v>-1137.8699999999999</v>
      </c>
      <c r="H85" s="53">
        <v>771.04</v>
      </c>
      <c r="I85" s="53">
        <v>572.62</v>
      </c>
      <c r="J85" s="53">
        <v>-269.52999999999997</v>
      </c>
      <c r="K85" s="53">
        <v>3383.44</v>
      </c>
    </row>
    <row r="90" spans="1:12" s="51" customFormat="1" x14ac:dyDescent="0.25">
      <c r="A90" s="51" t="s">
        <v>133</v>
      </c>
      <c r="B90" s="53">
        <v>1073.5</v>
      </c>
      <c r="C90" s="53">
        <v>1120.4000000000001</v>
      </c>
      <c r="D90" s="53">
        <v>1492.7</v>
      </c>
      <c r="E90" s="53">
        <v>1666.5</v>
      </c>
      <c r="F90" s="53">
        <v>2537.4</v>
      </c>
      <c r="G90" s="53">
        <v>3079.95</v>
      </c>
      <c r="H90" s="53">
        <v>2761.65</v>
      </c>
      <c r="I90" s="53">
        <v>2846.75</v>
      </c>
      <c r="J90" s="53">
        <v>2340.65</v>
      </c>
      <c r="K90" s="53">
        <v>2165.1999999999998</v>
      </c>
    </row>
    <row r="92" spans="1:12" s="51" customFormat="1" x14ac:dyDescent="0.25">
      <c r="A92" s="51" t="s">
        <v>134</v>
      </c>
    </row>
    <row r="93" spans="1:12" x14ac:dyDescent="0.25">
      <c r="A93" s="52" t="s">
        <v>135</v>
      </c>
      <c r="B93" s="60">
        <v>95.92</v>
      </c>
      <c r="C93" s="60">
        <v>95.92</v>
      </c>
      <c r="D93" s="60">
        <v>95.92</v>
      </c>
      <c r="E93" s="60">
        <v>95.92</v>
      </c>
      <c r="F93" s="60">
        <v>95.92</v>
      </c>
      <c r="G93" s="60">
        <v>95.92</v>
      </c>
      <c r="H93" s="60">
        <v>95.92</v>
      </c>
      <c r="I93" s="60">
        <v>95.92</v>
      </c>
      <c r="J93" s="60">
        <v>95.92</v>
      </c>
      <c r="K93" s="60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03866C7-AB34-441B-ACAE-C23DCFBCDD3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HistoricalFS</vt:lpstr>
      <vt:lpstr>DCF</vt:lpstr>
      <vt:lpstr>WACC</vt:lpstr>
      <vt:lpstr>Rm</vt:lpstr>
      <vt:lpstr>Intrisic Growth</vt:lpstr>
      <vt:lpstr>Raw Beta Peers</vt:lpstr>
      <vt:lpstr>Raw FS</vt:lpstr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LIG3</cp:lastModifiedBy>
  <cp:lastPrinted>2026-08-24T09:38:38Z</cp:lastPrinted>
  <dcterms:created xsi:type="dcterms:W3CDTF">2023-02-06T14:53:36Z</dcterms:created>
  <dcterms:modified xsi:type="dcterms:W3CDTF">2026-08-27T16:52:45Z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